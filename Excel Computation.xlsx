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kripsi\Data, syntax dan excel\"/>
    </mc:Choice>
  </mc:AlternateContent>
  <xr:revisionPtr revIDLastSave="0" documentId="13_ncr:1_{1F6CB381-14FB-435C-9CD6-47536F4FC698}" xr6:coauthVersionLast="47" xr6:coauthVersionMax="47" xr10:uidLastSave="{00000000-0000-0000-0000-000000000000}"/>
  <bookViews>
    <workbookView xWindow="-120" yWindow="-120" windowWidth="20730" windowHeight="11160" firstSheet="5" activeTab="11" xr2:uid="{00000000-000D-0000-FFFF-FFFF00000000}"/>
  </bookViews>
  <sheets>
    <sheet name="Skewness dan Kurtosis" sheetId="1" r:id="rId1"/>
    <sheet name="Differencing" sheetId="2" r:id="rId2"/>
    <sheet name="kruskal-wallis" sheetId="3" r:id="rId3"/>
    <sheet name="ACF" sheetId="4" r:id="rId4"/>
    <sheet name="Normalitas" sheetId="5" r:id="rId5"/>
    <sheet name="LjungBox" sheetId="6" r:id="rId6"/>
    <sheet name="Sheet4" sheetId="8" r:id="rId7"/>
    <sheet name="ADF" sheetId="7" r:id="rId8"/>
    <sheet name="MAPE" sheetId="9" r:id="rId9"/>
    <sheet name="HW MUL" sheetId="10" r:id="rId10"/>
    <sheet name="HW ADD" sheetId="12" r:id="rId11"/>
    <sheet name="HW MAPE" sheetId="14" r:id="rId12"/>
  </sheets>
  <definedNames>
    <definedName name="_xlnm._FilterDatabase" localSheetId="2" hidden="1">'kruskal-wallis'!$A$1:$D$1</definedName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ADF!$C$15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4" l="1"/>
  <c r="R5" i="14" s="1"/>
  <c r="Q6" i="14"/>
  <c r="R6" i="14" s="1"/>
  <c r="Q7" i="14"/>
  <c r="R7" i="14" s="1"/>
  <c r="Q8" i="14"/>
  <c r="R8" i="14" s="1"/>
  <c r="Q9" i="14"/>
  <c r="R9" i="14" s="1"/>
  <c r="Q10" i="14"/>
  <c r="R10" i="14" s="1"/>
  <c r="Q11" i="14"/>
  <c r="R11" i="14" s="1"/>
  <c r="Q12" i="14"/>
  <c r="R12" i="14" s="1"/>
  <c r="Q13" i="14"/>
  <c r="R13" i="14" s="1"/>
  <c r="Q14" i="14"/>
  <c r="R14" i="14" s="1"/>
  <c r="Q15" i="14"/>
  <c r="R15" i="14" s="1"/>
  <c r="Q4" i="14"/>
  <c r="R4" i="14" s="1"/>
  <c r="O17" i="14" s="1"/>
  <c r="I4" i="14" l="1"/>
  <c r="K4" i="14" s="1"/>
  <c r="I5" i="14"/>
  <c r="K5" i="14" s="1"/>
  <c r="I6" i="14"/>
  <c r="K6" i="14" s="1"/>
  <c r="I7" i="14"/>
  <c r="K7" i="14" s="1"/>
  <c r="I8" i="14"/>
  <c r="K8" i="14" s="1"/>
  <c r="I9" i="14"/>
  <c r="K9" i="14" s="1"/>
  <c r="I10" i="14"/>
  <c r="K10" i="14" s="1"/>
  <c r="I11" i="14"/>
  <c r="K11" i="14" s="1"/>
  <c r="I12" i="14"/>
  <c r="K12" i="14" s="1"/>
  <c r="I13" i="14"/>
  <c r="K13" i="14" s="1"/>
  <c r="I14" i="14"/>
  <c r="K14" i="14" s="1"/>
  <c r="I15" i="14"/>
  <c r="K15" i="14" s="1"/>
  <c r="I3" i="14"/>
  <c r="K3" i="14" s="1"/>
  <c r="I18" i="14" s="1"/>
  <c r="H4" i="14"/>
  <c r="J4" i="14" s="1"/>
  <c r="H5" i="14"/>
  <c r="J5" i="14" s="1"/>
  <c r="H6" i="14"/>
  <c r="J6" i="14" s="1"/>
  <c r="H7" i="14"/>
  <c r="J7" i="14" s="1"/>
  <c r="H8" i="14"/>
  <c r="J8" i="14" s="1"/>
  <c r="H9" i="14"/>
  <c r="J9" i="14" s="1"/>
  <c r="H10" i="14"/>
  <c r="J10" i="14" s="1"/>
  <c r="H11" i="14"/>
  <c r="J11" i="14" s="1"/>
  <c r="H12" i="14"/>
  <c r="J12" i="14" s="1"/>
  <c r="H13" i="14"/>
  <c r="J13" i="14" s="1"/>
  <c r="H14" i="14"/>
  <c r="J14" i="14" s="1"/>
  <c r="H15" i="14"/>
  <c r="J15" i="14" s="1"/>
  <c r="H3" i="14"/>
  <c r="J3" i="14" s="1"/>
  <c r="A5" i="10"/>
  <c r="A6" i="10"/>
  <c r="A7" i="10"/>
  <c r="A8" i="10"/>
  <c r="A9" i="10"/>
  <c r="A10" i="10"/>
  <c r="A11" i="10"/>
  <c r="A12" i="10"/>
  <c r="A13" i="10"/>
  <c r="A14" i="10"/>
  <c r="A15" i="10"/>
  <c r="A4" i="10"/>
  <c r="E15" i="10"/>
  <c r="H18" i="14" l="1"/>
  <c r="F15" i="10"/>
  <c r="E16" i="12" l="1"/>
  <c r="J14" i="12" l="1"/>
  <c r="J10" i="12"/>
  <c r="J6" i="12"/>
  <c r="H8" i="12"/>
  <c r="H12" i="12"/>
  <c r="H16" i="12"/>
  <c r="J5" i="12"/>
  <c r="H5" i="12"/>
  <c r="J13" i="12"/>
  <c r="J9" i="12"/>
  <c r="H9" i="12"/>
  <c r="H13" i="12"/>
  <c r="J16" i="12"/>
  <c r="J12" i="12"/>
  <c r="J8" i="12"/>
  <c r="H6" i="12"/>
  <c r="H10" i="12"/>
  <c r="H14" i="12"/>
  <c r="J7" i="12"/>
  <c r="H11" i="12"/>
  <c r="J15" i="12"/>
  <c r="J11" i="12"/>
  <c r="H7" i="12"/>
  <c r="H15" i="12"/>
  <c r="D6" i="12"/>
  <c r="D7" i="12"/>
  <c r="D8" i="12"/>
  <c r="D9" i="12"/>
  <c r="D10" i="12"/>
  <c r="D11" i="12"/>
  <c r="D12" i="12"/>
  <c r="D13" i="12"/>
  <c r="D14" i="12"/>
  <c r="D15" i="12"/>
  <c r="D16" i="12"/>
  <c r="D5" i="12"/>
  <c r="F16" i="12" s="1"/>
  <c r="G5" i="10" l="1"/>
  <c r="G6" i="10"/>
  <c r="G7" i="10"/>
  <c r="G8" i="10"/>
  <c r="G9" i="10"/>
  <c r="G10" i="10"/>
  <c r="G11" i="10"/>
  <c r="G12" i="10"/>
  <c r="G13" i="10"/>
  <c r="G14" i="10"/>
  <c r="G15" i="10"/>
  <c r="G4" i="10"/>
  <c r="E16" i="10" s="1"/>
  <c r="F16" i="10" l="1"/>
  <c r="G16" i="10"/>
  <c r="H16" i="10"/>
  <c r="E17" i="10"/>
  <c r="F21" i="8"/>
  <c r="G17" i="10" l="1"/>
  <c r="F17" i="10"/>
  <c r="H17" i="10" s="1"/>
  <c r="I17" i="10" s="1"/>
  <c r="D7" i="6"/>
  <c r="G5" i="6"/>
  <c r="F5" i="6"/>
  <c r="F7" i="6" s="1"/>
  <c r="H4" i="5"/>
  <c r="G4" i="5"/>
  <c r="F23" i="5"/>
  <c r="I140" i="5" s="1"/>
  <c r="R11" i="5"/>
  <c r="K140" i="5" l="1"/>
  <c r="M140" i="5"/>
  <c r="O140" i="5"/>
  <c r="I25" i="5"/>
  <c r="I29" i="5"/>
  <c r="I33" i="5"/>
  <c r="I37" i="5"/>
  <c r="I41" i="5"/>
  <c r="I45" i="5"/>
  <c r="I49" i="5"/>
  <c r="I53" i="5"/>
  <c r="I57" i="5"/>
  <c r="I61" i="5"/>
  <c r="I65" i="5"/>
  <c r="I69" i="5"/>
  <c r="I73" i="5"/>
  <c r="I77" i="5"/>
  <c r="I81" i="5"/>
  <c r="I85" i="5"/>
  <c r="I89" i="5"/>
  <c r="I93" i="5"/>
  <c r="I97" i="5"/>
  <c r="I101" i="5"/>
  <c r="I105" i="5"/>
  <c r="I109" i="5"/>
  <c r="I113" i="5"/>
  <c r="I117" i="5"/>
  <c r="I121" i="5"/>
  <c r="I125" i="5"/>
  <c r="I129" i="5"/>
  <c r="I133" i="5"/>
  <c r="I137" i="5"/>
  <c r="I141" i="5"/>
  <c r="I26" i="5"/>
  <c r="I30" i="5"/>
  <c r="I34" i="5"/>
  <c r="I38" i="5"/>
  <c r="I42" i="5"/>
  <c r="I46" i="5"/>
  <c r="I50" i="5"/>
  <c r="I54" i="5"/>
  <c r="I58" i="5"/>
  <c r="I62" i="5"/>
  <c r="I66" i="5"/>
  <c r="I70" i="5"/>
  <c r="I74" i="5"/>
  <c r="I78" i="5"/>
  <c r="I82" i="5"/>
  <c r="I86" i="5"/>
  <c r="I90" i="5"/>
  <c r="I94" i="5"/>
  <c r="I98" i="5"/>
  <c r="I102" i="5"/>
  <c r="I106" i="5"/>
  <c r="I110" i="5"/>
  <c r="I114" i="5"/>
  <c r="I118" i="5"/>
  <c r="I122" i="5"/>
  <c r="I126" i="5"/>
  <c r="I130" i="5"/>
  <c r="I134" i="5"/>
  <c r="I138" i="5"/>
  <c r="D8" i="6"/>
  <c r="E12" i="6" s="1"/>
  <c r="I23" i="5"/>
  <c r="I31" i="5"/>
  <c r="I39" i="5"/>
  <c r="I47" i="5"/>
  <c r="I55" i="5"/>
  <c r="I63" i="5"/>
  <c r="I71" i="5"/>
  <c r="I75" i="5"/>
  <c r="I83" i="5"/>
  <c r="I87" i="5"/>
  <c r="I91" i="5"/>
  <c r="I95" i="5"/>
  <c r="I99" i="5"/>
  <c r="I103" i="5"/>
  <c r="I107" i="5"/>
  <c r="I111" i="5"/>
  <c r="I115" i="5"/>
  <c r="I119" i="5"/>
  <c r="I123" i="5"/>
  <c r="I127" i="5"/>
  <c r="I131" i="5"/>
  <c r="I135" i="5"/>
  <c r="I139" i="5"/>
  <c r="I27" i="5"/>
  <c r="I35" i="5"/>
  <c r="I43" i="5"/>
  <c r="I51" i="5"/>
  <c r="I59" i="5"/>
  <c r="I67" i="5"/>
  <c r="I79" i="5"/>
  <c r="I24" i="5"/>
  <c r="I28" i="5"/>
  <c r="I32" i="5"/>
  <c r="I36" i="5"/>
  <c r="I40" i="5"/>
  <c r="I44" i="5"/>
  <c r="I48" i="5"/>
  <c r="I52" i="5"/>
  <c r="I56" i="5"/>
  <c r="I60" i="5"/>
  <c r="I64" i="5"/>
  <c r="I68" i="5"/>
  <c r="I72" i="5"/>
  <c r="I76" i="5"/>
  <c r="I80" i="5"/>
  <c r="I84" i="5"/>
  <c r="I88" i="5"/>
  <c r="I92" i="5"/>
  <c r="I96" i="5"/>
  <c r="I100" i="5"/>
  <c r="I104" i="5"/>
  <c r="I108" i="5"/>
  <c r="I112" i="5"/>
  <c r="I116" i="5"/>
  <c r="I120" i="5"/>
  <c r="I124" i="5"/>
  <c r="I128" i="5"/>
  <c r="I132" i="5"/>
  <c r="I136" i="5"/>
  <c r="G5" i="5"/>
  <c r="F2" i="5" s="1"/>
  <c r="E18" i="10"/>
  <c r="J10" i="3"/>
  <c r="K7" i="3"/>
  <c r="I7" i="3"/>
  <c r="G17" i="3"/>
  <c r="G16" i="3"/>
  <c r="G15" i="3"/>
  <c r="G14" i="3"/>
  <c r="G12" i="3"/>
  <c r="G11" i="3"/>
  <c r="G10" i="3"/>
  <c r="G9" i="3"/>
  <c r="G8" i="3"/>
  <c r="G7" i="3"/>
  <c r="C2" i="3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H131" i="1"/>
  <c r="I131" i="1" s="1"/>
  <c r="H127" i="1"/>
  <c r="H123" i="1"/>
  <c r="H119" i="1"/>
  <c r="H115" i="1"/>
  <c r="H111" i="1"/>
  <c r="H107" i="1"/>
  <c r="H103" i="1"/>
  <c r="H99" i="1"/>
  <c r="H95" i="1"/>
  <c r="H91" i="1"/>
  <c r="H87" i="1"/>
  <c r="H83" i="1"/>
  <c r="I83" i="1" s="1"/>
  <c r="H79" i="1"/>
  <c r="H75" i="1"/>
  <c r="H71" i="1"/>
  <c r="H67" i="1"/>
  <c r="H63" i="1"/>
  <c r="H59" i="1"/>
  <c r="H55" i="1"/>
  <c r="H51" i="1"/>
  <c r="H47" i="1"/>
  <c r="H43" i="1"/>
  <c r="H39" i="1"/>
  <c r="H35" i="1"/>
  <c r="I35" i="1" s="1"/>
  <c r="H31" i="1"/>
  <c r="H27" i="1"/>
  <c r="H23" i="1"/>
  <c r="H19" i="1"/>
  <c r="H15" i="1"/>
  <c r="H11" i="1"/>
  <c r="H7" i="1"/>
  <c r="H3" i="1"/>
  <c r="I3" i="1" s="1"/>
  <c r="E3" i="1"/>
  <c r="H134" i="1" s="1"/>
  <c r="E1" i="1"/>
  <c r="L11" i="1" l="1"/>
  <c r="K11" i="1"/>
  <c r="L19" i="1"/>
  <c r="K19" i="1"/>
  <c r="L51" i="1"/>
  <c r="K51" i="1"/>
  <c r="L67" i="1"/>
  <c r="K67" i="1"/>
  <c r="L99" i="1"/>
  <c r="K99" i="1"/>
  <c r="L115" i="1"/>
  <c r="K115" i="1"/>
  <c r="L7" i="1"/>
  <c r="K7" i="1"/>
  <c r="L23" i="1"/>
  <c r="K23" i="1"/>
  <c r="L39" i="1"/>
  <c r="K39" i="1"/>
  <c r="L55" i="1"/>
  <c r="K55" i="1"/>
  <c r="L71" i="1"/>
  <c r="K71" i="1"/>
  <c r="L87" i="1"/>
  <c r="K87" i="1"/>
  <c r="L103" i="1"/>
  <c r="K103" i="1"/>
  <c r="L119" i="1"/>
  <c r="K119" i="1"/>
  <c r="I19" i="1"/>
  <c r="I51" i="1"/>
  <c r="I67" i="1"/>
  <c r="I99" i="1"/>
  <c r="I115" i="1"/>
  <c r="L43" i="1"/>
  <c r="K43" i="1"/>
  <c r="L75" i="1"/>
  <c r="K75" i="1"/>
  <c r="L107" i="1"/>
  <c r="K107" i="1"/>
  <c r="L27" i="1"/>
  <c r="K27" i="1"/>
  <c r="L59" i="1"/>
  <c r="K59" i="1"/>
  <c r="L91" i="1"/>
  <c r="K91" i="1"/>
  <c r="L123" i="1"/>
  <c r="K123" i="1"/>
  <c r="I134" i="1"/>
  <c r="L134" i="1"/>
  <c r="K134" i="1"/>
  <c r="L15" i="1"/>
  <c r="K15" i="1"/>
  <c r="L31" i="1"/>
  <c r="K31" i="1"/>
  <c r="L47" i="1"/>
  <c r="K47" i="1"/>
  <c r="L63" i="1"/>
  <c r="K63" i="1"/>
  <c r="L79" i="1"/>
  <c r="K79" i="1"/>
  <c r="L95" i="1"/>
  <c r="K95" i="1"/>
  <c r="L111" i="1"/>
  <c r="K111" i="1"/>
  <c r="L127" i="1"/>
  <c r="K127" i="1"/>
  <c r="I11" i="1"/>
  <c r="I27" i="1"/>
  <c r="I43" i="1"/>
  <c r="I59" i="1"/>
  <c r="I75" i="1"/>
  <c r="I91" i="1"/>
  <c r="I107" i="1"/>
  <c r="I123" i="1"/>
  <c r="L3" i="1"/>
  <c r="K3" i="1"/>
  <c r="L35" i="1"/>
  <c r="K35" i="1"/>
  <c r="L83" i="1"/>
  <c r="K83" i="1"/>
  <c r="L131" i="1"/>
  <c r="K131" i="1"/>
  <c r="H8" i="1"/>
  <c r="H16" i="1"/>
  <c r="H28" i="1"/>
  <c r="H44" i="1"/>
  <c r="H56" i="1"/>
  <c r="H64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F18" i="10"/>
  <c r="H18" i="10"/>
  <c r="I18" i="10" s="1"/>
  <c r="G18" i="10"/>
  <c r="K128" i="5"/>
  <c r="M128" i="5"/>
  <c r="O128" i="5"/>
  <c r="K112" i="5"/>
  <c r="M112" i="5"/>
  <c r="O112" i="5"/>
  <c r="K96" i="5"/>
  <c r="M96" i="5"/>
  <c r="O96" i="5"/>
  <c r="K80" i="5"/>
  <c r="M80" i="5"/>
  <c r="O80" i="5"/>
  <c r="K64" i="5"/>
  <c r="M64" i="5"/>
  <c r="O64" i="5"/>
  <c r="M48" i="5"/>
  <c r="O48" i="5"/>
  <c r="K48" i="5"/>
  <c r="M32" i="5"/>
  <c r="O32" i="5"/>
  <c r="K32" i="5"/>
  <c r="K67" i="5"/>
  <c r="M67" i="5"/>
  <c r="O67" i="5"/>
  <c r="M35" i="5"/>
  <c r="O35" i="5"/>
  <c r="K35" i="5"/>
  <c r="K131" i="5"/>
  <c r="M131" i="5"/>
  <c r="O131" i="5"/>
  <c r="K115" i="5"/>
  <c r="M115" i="5"/>
  <c r="O115" i="5"/>
  <c r="K99" i="5"/>
  <c r="M99" i="5"/>
  <c r="O99" i="5"/>
  <c r="K83" i="5"/>
  <c r="M83" i="5"/>
  <c r="O83" i="5"/>
  <c r="K55" i="5"/>
  <c r="M55" i="5"/>
  <c r="O55" i="5"/>
  <c r="I142" i="5"/>
  <c r="I143" i="5" s="1"/>
  <c r="M23" i="5"/>
  <c r="O23" i="5"/>
  <c r="K23" i="5"/>
  <c r="O130" i="5"/>
  <c r="K130" i="5"/>
  <c r="M130" i="5"/>
  <c r="O114" i="5"/>
  <c r="K114" i="5"/>
  <c r="M114" i="5"/>
  <c r="O98" i="5"/>
  <c r="K98" i="5"/>
  <c r="M98" i="5"/>
  <c r="O82" i="5"/>
  <c r="K82" i="5"/>
  <c r="M82" i="5"/>
  <c r="O66" i="5"/>
  <c r="K66" i="5"/>
  <c r="M66" i="5"/>
  <c r="O50" i="5"/>
  <c r="M50" i="5"/>
  <c r="K50" i="5"/>
  <c r="O34" i="5"/>
  <c r="M34" i="5"/>
  <c r="K34" i="5"/>
  <c r="M137" i="5"/>
  <c r="O137" i="5"/>
  <c r="K137" i="5"/>
  <c r="M121" i="5"/>
  <c r="O121" i="5"/>
  <c r="K121" i="5"/>
  <c r="M105" i="5"/>
  <c r="O105" i="5"/>
  <c r="K105" i="5"/>
  <c r="M89" i="5"/>
  <c r="O89" i="5"/>
  <c r="K89" i="5"/>
  <c r="M73" i="5"/>
  <c r="O73" i="5"/>
  <c r="K73" i="5"/>
  <c r="M57" i="5"/>
  <c r="O57" i="5"/>
  <c r="K57" i="5"/>
  <c r="M41" i="5"/>
  <c r="O41" i="5"/>
  <c r="K41" i="5"/>
  <c r="M25" i="5"/>
  <c r="O25" i="5"/>
  <c r="K25" i="5"/>
  <c r="H4" i="1"/>
  <c r="H12" i="1"/>
  <c r="H20" i="1"/>
  <c r="H24" i="1"/>
  <c r="H32" i="1"/>
  <c r="H36" i="1"/>
  <c r="H40" i="1"/>
  <c r="H48" i="1"/>
  <c r="H52" i="1"/>
  <c r="H60" i="1"/>
  <c r="H68" i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K124" i="5"/>
  <c r="M124" i="5"/>
  <c r="O124" i="5"/>
  <c r="K108" i="5"/>
  <c r="M108" i="5"/>
  <c r="O108" i="5"/>
  <c r="K92" i="5"/>
  <c r="M92" i="5"/>
  <c r="O92" i="5"/>
  <c r="K76" i="5"/>
  <c r="M76" i="5"/>
  <c r="O76" i="5"/>
  <c r="K60" i="5"/>
  <c r="M60" i="5"/>
  <c r="O60" i="5"/>
  <c r="M44" i="5"/>
  <c r="O44" i="5"/>
  <c r="K44" i="5"/>
  <c r="M28" i="5"/>
  <c r="O28" i="5"/>
  <c r="K28" i="5"/>
  <c r="K59" i="5"/>
  <c r="M59" i="5"/>
  <c r="O59" i="5"/>
  <c r="M27" i="5"/>
  <c r="O27" i="5"/>
  <c r="K27" i="5"/>
  <c r="K127" i="5"/>
  <c r="M127" i="5"/>
  <c r="O127" i="5"/>
  <c r="K111" i="5"/>
  <c r="M111" i="5"/>
  <c r="O111" i="5"/>
  <c r="K95" i="5"/>
  <c r="M95" i="5"/>
  <c r="O95" i="5"/>
  <c r="K75" i="5"/>
  <c r="M75" i="5"/>
  <c r="O75" i="5"/>
  <c r="M47" i="5"/>
  <c r="O47" i="5"/>
  <c r="K47" i="5"/>
  <c r="O126" i="5"/>
  <c r="K126" i="5"/>
  <c r="M126" i="5"/>
  <c r="O110" i="5"/>
  <c r="K110" i="5"/>
  <c r="M110" i="5"/>
  <c r="O94" i="5"/>
  <c r="K94" i="5"/>
  <c r="M94" i="5"/>
  <c r="O78" i="5"/>
  <c r="K78" i="5"/>
  <c r="M78" i="5"/>
  <c r="O62" i="5"/>
  <c r="K62" i="5"/>
  <c r="M62" i="5"/>
  <c r="O46" i="5"/>
  <c r="M46" i="5"/>
  <c r="K46" i="5"/>
  <c r="O30" i="5"/>
  <c r="M30" i="5"/>
  <c r="K30" i="5"/>
  <c r="M133" i="5"/>
  <c r="O133" i="5"/>
  <c r="K133" i="5"/>
  <c r="M117" i="5"/>
  <c r="O117" i="5"/>
  <c r="K117" i="5"/>
  <c r="M101" i="5"/>
  <c r="O101" i="5"/>
  <c r="K101" i="5"/>
  <c r="M85" i="5"/>
  <c r="O85" i="5"/>
  <c r="K85" i="5"/>
  <c r="M69" i="5"/>
  <c r="O69" i="5"/>
  <c r="K69" i="5"/>
  <c r="M53" i="5"/>
  <c r="O53" i="5"/>
  <c r="K53" i="5"/>
  <c r="M37" i="5"/>
  <c r="O37" i="5"/>
  <c r="K37" i="5"/>
  <c r="H6" i="1"/>
  <c r="H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K136" i="5"/>
  <c r="M136" i="5"/>
  <c r="O136" i="5"/>
  <c r="K120" i="5"/>
  <c r="M120" i="5"/>
  <c r="O120" i="5"/>
  <c r="K104" i="5"/>
  <c r="M104" i="5"/>
  <c r="O104" i="5"/>
  <c r="K88" i="5"/>
  <c r="M88" i="5"/>
  <c r="O88" i="5"/>
  <c r="K72" i="5"/>
  <c r="M72" i="5"/>
  <c r="O72" i="5"/>
  <c r="K56" i="5"/>
  <c r="M56" i="5"/>
  <c r="O56" i="5"/>
  <c r="M40" i="5"/>
  <c r="O40" i="5"/>
  <c r="K40" i="5"/>
  <c r="M24" i="5"/>
  <c r="O24" i="5"/>
  <c r="K24" i="5"/>
  <c r="M51" i="5"/>
  <c r="O51" i="5"/>
  <c r="K51" i="5"/>
  <c r="K139" i="5"/>
  <c r="M139" i="5"/>
  <c r="O139" i="5"/>
  <c r="K123" i="5"/>
  <c r="M123" i="5"/>
  <c r="O123" i="5"/>
  <c r="K107" i="5"/>
  <c r="M107" i="5"/>
  <c r="O107" i="5"/>
  <c r="K91" i="5"/>
  <c r="M91" i="5"/>
  <c r="O91" i="5"/>
  <c r="K71" i="5"/>
  <c r="M71" i="5"/>
  <c r="O71" i="5"/>
  <c r="M39" i="5"/>
  <c r="O39" i="5"/>
  <c r="K39" i="5"/>
  <c r="O138" i="5"/>
  <c r="K138" i="5"/>
  <c r="M138" i="5"/>
  <c r="O122" i="5"/>
  <c r="K122" i="5"/>
  <c r="M122" i="5"/>
  <c r="O106" i="5"/>
  <c r="K106" i="5"/>
  <c r="M106" i="5"/>
  <c r="O90" i="5"/>
  <c r="K90" i="5"/>
  <c r="M90" i="5"/>
  <c r="O74" i="5"/>
  <c r="K74" i="5"/>
  <c r="M74" i="5"/>
  <c r="O58" i="5"/>
  <c r="K58" i="5"/>
  <c r="M58" i="5"/>
  <c r="O42" i="5"/>
  <c r="M42" i="5"/>
  <c r="K42" i="5"/>
  <c r="O26" i="5"/>
  <c r="M26" i="5"/>
  <c r="K26" i="5"/>
  <c r="M129" i="5"/>
  <c r="O129" i="5"/>
  <c r="K129" i="5"/>
  <c r="M113" i="5"/>
  <c r="O113" i="5"/>
  <c r="K113" i="5"/>
  <c r="M97" i="5"/>
  <c r="O97" i="5"/>
  <c r="K97" i="5"/>
  <c r="M81" i="5"/>
  <c r="O81" i="5"/>
  <c r="K81" i="5"/>
  <c r="M65" i="5"/>
  <c r="O65" i="5"/>
  <c r="K65" i="5"/>
  <c r="M49" i="5"/>
  <c r="O49" i="5"/>
  <c r="K49" i="5"/>
  <c r="M33" i="5"/>
  <c r="O33" i="5"/>
  <c r="K33" i="5"/>
  <c r="K132" i="5"/>
  <c r="M132" i="5"/>
  <c r="O132" i="5"/>
  <c r="K116" i="5"/>
  <c r="M116" i="5"/>
  <c r="O116" i="5"/>
  <c r="K100" i="5"/>
  <c r="M100" i="5"/>
  <c r="O100" i="5"/>
  <c r="K84" i="5"/>
  <c r="M84" i="5"/>
  <c r="O84" i="5"/>
  <c r="K68" i="5"/>
  <c r="M68" i="5"/>
  <c r="O68" i="5"/>
  <c r="M52" i="5"/>
  <c r="O52" i="5"/>
  <c r="K52" i="5"/>
  <c r="M36" i="5"/>
  <c r="O36" i="5"/>
  <c r="K36" i="5"/>
  <c r="K79" i="5"/>
  <c r="M79" i="5"/>
  <c r="O79" i="5"/>
  <c r="M43" i="5"/>
  <c r="O43" i="5"/>
  <c r="K43" i="5"/>
  <c r="K135" i="5"/>
  <c r="M135" i="5"/>
  <c r="O135" i="5"/>
  <c r="K119" i="5"/>
  <c r="M119" i="5"/>
  <c r="O119" i="5"/>
  <c r="K103" i="5"/>
  <c r="M103" i="5"/>
  <c r="O103" i="5"/>
  <c r="K87" i="5"/>
  <c r="M87" i="5"/>
  <c r="O87" i="5"/>
  <c r="K63" i="5"/>
  <c r="M63" i="5"/>
  <c r="O63" i="5"/>
  <c r="M31" i="5"/>
  <c r="O31" i="5"/>
  <c r="K31" i="5"/>
  <c r="O134" i="5"/>
  <c r="K134" i="5"/>
  <c r="M134" i="5"/>
  <c r="O118" i="5"/>
  <c r="K118" i="5"/>
  <c r="M118" i="5"/>
  <c r="O102" i="5"/>
  <c r="K102" i="5"/>
  <c r="M102" i="5"/>
  <c r="O86" i="5"/>
  <c r="K86" i="5"/>
  <c r="M86" i="5"/>
  <c r="O70" i="5"/>
  <c r="K70" i="5"/>
  <c r="M70" i="5"/>
  <c r="O54" i="5"/>
  <c r="M54" i="5"/>
  <c r="K54" i="5"/>
  <c r="O38" i="5"/>
  <c r="M38" i="5"/>
  <c r="K38" i="5"/>
  <c r="M141" i="5"/>
  <c r="O141" i="5"/>
  <c r="K141" i="5"/>
  <c r="M125" i="5"/>
  <c r="O125" i="5"/>
  <c r="K125" i="5"/>
  <c r="M109" i="5"/>
  <c r="O109" i="5"/>
  <c r="K109" i="5"/>
  <c r="M93" i="5"/>
  <c r="O93" i="5"/>
  <c r="K93" i="5"/>
  <c r="M77" i="5"/>
  <c r="O77" i="5"/>
  <c r="K77" i="5"/>
  <c r="M61" i="5"/>
  <c r="O61" i="5"/>
  <c r="K61" i="5"/>
  <c r="M45" i="5"/>
  <c r="O45" i="5"/>
  <c r="K45" i="5"/>
  <c r="M29" i="5"/>
  <c r="O29" i="5"/>
  <c r="K29" i="5"/>
  <c r="E19" i="10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103" i="3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45" i="3"/>
  <c r="C46" i="3"/>
  <c r="C47" i="3"/>
  <c r="C48" i="3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l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I126" i="1"/>
  <c r="L126" i="1"/>
  <c r="K126" i="1"/>
  <c r="I110" i="1"/>
  <c r="L110" i="1"/>
  <c r="K110" i="1"/>
  <c r="I94" i="1"/>
  <c r="L94" i="1"/>
  <c r="K94" i="1"/>
  <c r="I78" i="1"/>
  <c r="L78" i="1"/>
  <c r="K78" i="1"/>
  <c r="I62" i="1"/>
  <c r="L62" i="1"/>
  <c r="K62" i="1"/>
  <c r="I46" i="1"/>
  <c r="L46" i="1"/>
  <c r="K46" i="1"/>
  <c r="I30" i="1"/>
  <c r="L30" i="1"/>
  <c r="K30" i="1"/>
  <c r="I14" i="1"/>
  <c r="L14" i="1"/>
  <c r="K14" i="1"/>
  <c r="L129" i="1"/>
  <c r="I129" i="1"/>
  <c r="K129" i="1"/>
  <c r="L113" i="1"/>
  <c r="K113" i="1"/>
  <c r="I113" i="1"/>
  <c r="K97" i="1"/>
  <c r="I97" i="1"/>
  <c r="L97" i="1"/>
  <c r="I81" i="1"/>
  <c r="L81" i="1"/>
  <c r="K81" i="1"/>
  <c r="L65" i="1"/>
  <c r="I65" i="1"/>
  <c r="K65" i="1"/>
  <c r="I49" i="1"/>
  <c r="L49" i="1"/>
  <c r="K49" i="1"/>
  <c r="I33" i="1"/>
  <c r="L33" i="1"/>
  <c r="K33" i="1"/>
  <c r="L17" i="1"/>
  <c r="I17" i="1"/>
  <c r="K17" i="1"/>
  <c r="L68" i="1"/>
  <c r="K68" i="1"/>
  <c r="I68" i="1"/>
  <c r="L40" i="1"/>
  <c r="K40" i="1"/>
  <c r="I40" i="1"/>
  <c r="L20" i="1"/>
  <c r="K20" i="1"/>
  <c r="I20" i="1"/>
  <c r="K142" i="5"/>
  <c r="K143" i="5" s="1"/>
  <c r="I2" i="5" s="1"/>
  <c r="L120" i="1"/>
  <c r="K120" i="1"/>
  <c r="I120" i="1"/>
  <c r="L104" i="1"/>
  <c r="K104" i="1"/>
  <c r="I104" i="1"/>
  <c r="L88" i="1"/>
  <c r="K88" i="1"/>
  <c r="I88" i="1"/>
  <c r="L72" i="1"/>
  <c r="K72" i="1"/>
  <c r="I72" i="1"/>
  <c r="L28" i="1"/>
  <c r="K28" i="1"/>
  <c r="I28" i="1"/>
  <c r="F19" i="10"/>
  <c r="H19" i="10" s="1"/>
  <c r="I19" i="10" s="1"/>
  <c r="G19" i="10"/>
  <c r="I122" i="1"/>
  <c r="L122" i="1"/>
  <c r="K122" i="1"/>
  <c r="I106" i="1"/>
  <c r="L106" i="1"/>
  <c r="K106" i="1"/>
  <c r="I90" i="1"/>
  <c r="L90" i="1"/>
  <c r="K90" i="1"/>
  <c r="I74" i="1"/>
  <c r="L74" i="1"/>
  <c r="K74" i="1"/>
  <c r="I58" i="1"/>
  <c r="L58" i="1"/>
  <c r="K58" i="1"/>
  <c r="I42" i="1"/>
  <c r="L42" i="1"/>
  <c r="K42" i="1"/>
  <c r="I26" i="1"/>
  <c r="L26" i="1"/>
  <c r="K26" i="1"/>
  <c r="I10" i="1"/>
  <c r="L10" i="1"/>
  <c r="K10" i="1"/>
  <c r="L125" i="1"/>
  <c r="I125" i="1"/>
  <c r="K125" i="1"/>
  <c r="L109" i="1"/>
  <c r="I109" i="1"/>
  <c r="K109" i="1"/>
  <c r="L93" i="1"/>
  <c r="I93" i="1"/>
  <c r="K93" i="1"/>
  <c r="L77" i="1"/>
  <c r="I77" i="1"/>
  <c r="K77" i="1"/>
  <c r="I61" i="1"/>
  <c r="L61" i="1"/>
  <c r="K61" i="1"/>
  <c r="L45" i="1"/>
  <c r="I45" i="1"/>
  <c r="K45" i="1"/>
  <c r="L29" i="1"/>
  <c r="I29" i="1"/>
  <c r="K29" i="1"/>
  <c r="I13" i="1"/>
  <c r="L13" i="1"/>
  <c r="K13" i="1"/>
  <c r="L60" i="1"/>
  <c r="K60" i="1"/>
  <c r="I60" i="1"/>
  <c r="L36" i="1"/>
  <c r="K36" i="1"/>
  <c r="I36" i="1"/>
  <c r="L12" i="1"/>
  <c r="K12" i="1"/>
  <c r="I12" i="1"/>
  <c r="O142" i="5"/>
  <c r="O143" i="5" s="1"/>
  <c r="L132" i="1"/>
  <c r="K132" i="1"/>
  <c r="I132" i="1"/>
  <c r="L116" i="1"/>
  <c r="K116" i="1"/>
  <c r="I116" i="1"/>
  <c r="L100" i="1"/>
  <c r="K100" i="1"/>
  <c r="I100" i="1"/>
  <c r="L84" i="1"/>
  <c r="K84" i="1"/>
  <c r="I84" i="1"/>
  <c r="L64" i="1"/>
  <c r="K64" i="1"/>
  <c r="I64" i="1"/>
  <c r="L16" i="1"/>
  <c r="K16" i="1"/>
  <c r="I16" i="1"/>
  <c r="I118" i="1"/>
  <c r="L118" i="1"/>
  <c r="K118" i="1"/>
  <c r="I102" i="1"/>
  <c r="L102" i="1"/>
  <c r="K102" i="1"/>
  <c r="I86" i="1"/>
  <c r="L86" i="1"/>
  <c r="K86" i="1"/>
  <c r="I70" i="1"/>
  <c r="L70" i="1"/>
  <c r="K70" i="1"/>
  <c r="I54" i="1"/>
  <c r="L54" i="1"/>
  <c r="K54" i="1"/>
  <c r="I38" i="1"/>
  <c r="L38" i="1"/>
  <c r="K38" i="1"/>
  <c r="I22" i="1"/>
  <c r="L22" i="1"/>
  <c r="K22" i="1"/>
  <c r="I6" i="1"/>
  <c r="L6" i="1"/>
  <c r="K6" i="1"/>
  <c r="L121" i="1"/>
  <c r="K121" i="1"/>
  <c r="I121" i="1"/>
  <c r="L105" i="1"/>
  <c r="I105" i="1"/>
  <c r="K105" i="1"/>
  <c r="I89" i="1"/>
  <c r="L89" i="1"/>
  <c r="K89" i="1"/>
  <c r="I73" i="1"/>
  <c r="L73" i="1"/>
  <c r="K73" i="1"/>
  <c r="I57" i="1"/>
  <c r="L57" i="1"/>
  <c r="K57" i="1"/>
  <c r="I41" i="1"/>
  <c r="L41" i="1"/>
  <c r="K41" i="1"/>
  <c r="I25" i="1"/>
  <c r="L25" i="1"/>
  <c r="K25" i="1"/>
  <c r="I9" i="1"/>
  <c r="L9" i="1"/>
  <c r="K9" i="1"/>
  <c r="L52" i="1"/>
  <c r="K52" i="1"/>
  <c r="I52" i="1"/>
  <c r="L32" i="1"/>
  <c r="K32" i="1"/>
  <c r="I32" i="1"/>
  <c r="L4" i="1"/>
  <c r="K4" i="1"/>
  <c r="K135" i="1" s="1"/>
  <c r="K136" i="1" s="1"/>
  <c r="I4" i="1"/>
  <c r="M142" i="5"/>
  <c r="M143" i="5" s="1"/>
  <c r="L128" i="1"/>
  <c r="K128" i="1"/>
  <c r="I128" i="1"/>
  <c r="L112" i="1"/>
  <c r="K112" i="1"/>
  <c r="I112" i="1"/>
  <c r="L96" i="1"/>
  <c r="K96" i="1"/>
  <c r="I96" i="1"/>
  <c r="L80" i="1"/>
  <c r="K80" i="1"/>
  <c r="I80" i="1"/>
  <c r="L56" i="1"/>
  <c r="K56" i="1"/>
  <c r="I56" i="1"/>
  <c r="L8" i="1"/>
  <c r="K8" i="1"/>
  <c r="I8" i="1"/>
  <c r="I130" i="1"/>
  <c r="L130" i="1"/>
  <c r="K130" i="1"/>
  <c r="I114" i="1"/>
  <c r="L114" i="1"/>
  <c r="K114" i="1"/>
  <c r="I98" i="1"/>
  <c r="L98" i="1"/>
  <c r="K98" i="1"/>
  <c r="I82" i="1"/>
  <c r="L82" i="1"/>
  <c r="K82" i="1"/>
  <c r="I66" i="1"/>
  <c r="L66" i="1"/>
  <c r="K66" i="1"/>
  <c r="I50" i="1"/>
  <c r="L50" i="1"/>
  <c r="K50" i="1"/>
  <c r="I34" i="1"/>
  <c r="L34" i="1"/>
  <c r="K34" i="1"/>
  <c r="I18" i="1"/>
  <c r="L18" i="1"/>
  <c r="K18" i="1"/>
  <c r="L133" i="1"/>
  <c r="I133" i="1"/>
  <c r="K133" i="1"/>
  <c r="I117" i="1"/>
  <c r="K117" i="1"/>
  <c r="L117" i="1"/>
  <c r="I101" i="1"/>
  <c r="K101" i="1"/>
  <c r="L101" i="1"/>
  <c r="L85" i="1"/>
  <c r="K85" i="1"/>
  <c r="I85" i="1"/>
  <c r="I69" i="1"/>
  <c r="L69" i="1"/>
  <c r="K69" i="1"/>
  <c r="L53" i="1"/>
  <c r="I53" i="1"/>
  <c r="K53" i="1"/>
  <c r="I37" i="1"/>
  <c r="L37" i="1"/>
  <c r="K37" i="1"/>
  <c r="I21" i="1"/>
  <c r="L21" i="1"/>
  <c r="K21" i="1"/>
  <c r="L5" i="1"/>
  <c r="I5" i="1"/>
  <c r="K5" i="1"/>
  <c r="L48" i="1"/>
  <c r="K48" i="1"/>
  <c r="I48" i="1"/>
  <c r="L24" i="1"/>
  <c r="K24" i="1"/>
  <c r="I24" i="1"/>
  <c r="L124" i="1"/>
  <c r="K124" i="1"/>
  <c r="I124" i="1"/>
  <c r="L108" i="1"/>
  <c r="K108" i="1"/>
  <c r="I108" i="1"/>
  <c r="L92" i="1"/>
  <c r="K92" i="1"/>
  <c r="I92" i="1"/>
  <c r="L76" i="1"/>
  <c r="K76" i="1"/>
  <c r="I76" i="1"/>
  <c r="L44" i="1"/>
  <c r="K44" i="1"/>
  <c r="I44" i="1"/>
  <c r="L135" i="1"/>
  <c r="E20" i="10"/>
  <c r="J135" i="1" l="1"/>
  <c r="D79" i="3"/>
  <c r="G13" i="3" s="1"/>
  <c r="J7" i="3" s="1"/>
  <c r="I6" i="3" s="1"/>
  <c r="L136" i="1"/>
  <c r="O2" i="1"/>
  <c r="F20" i="10"/>
  <c r="E21" i="10" s="1"/>
  <c r="G20" i="10"/>
  <c r="F21" i="10" l="1"/>
  <c r="H21" i="10"/>
  <c r="G21" i="10"/>
  <c r="O4" i="1"/>
  <c r="P4" i="1" s="1"/>
  <c r="F3" i="1"/>
  <c r="D6" i="1" s="1"/>
  <c r="H20" i="10"/>
  <c r="I20" i="10" s="1"/>
  <c r="Q3" i="1"/>
  <c r="R3" i="1" s="1"/>
  <c r="E22" i="10"/>
  <c r="I21" i="10"/>
  <c r="F6" i="1" l="1"/>
  <c r="F22" i="10"/>
  <c r="H22" i="10" s="1"/>
  <c r="I22" i="10" s="1"/>
  <c r="G22" i="10"/>
  <c r="E23" i="10" l="1"/>
  <c r="F23" i="10" l="1"/>
  <c r="H23" i="10" s="1"/>
  <c r="I23" i="10" s="1"/>
  <c r="G23" i="10"/>
  <c r="E24" i="10" l="1"/>
  <c r="F24" i="10" l="1"/>
  <c r="H24" i="10" s="1"/>
  <c r="I24" i="10" s="1"/>
  <c r="G24" i="10"/>
  <c r="E25" i="10" l="1"/>
  <c r="F25" i="10" l="1"/>
  <c r="H25" i="10" s="1"/>
  <c r="I25" i="10" s="1"/>
  <c r="G25" i="10"/>
  <c r="E26" i="10"/>
  <c r="F26" i="10" l="1"/>
  <c r="H26" i="10" s="1"/>
  <c r="I26" i="10" s="1"/>
  <c r="G26" i="10"/>
  <c r="E27" i="10" l="1"/>
  <c r="F27" i="10" l="1"/>
  <c r="H27" i="10" s="1"/>
  <c r="I27" i="10" s="1"/>
  <c r="G27" i="10"/>
  <c r="E28" i="10" l="1"/>
  <c r="F28" i="10" l="1"/>
  <c r="E29" i="10" s="1"/>
  <c r="H28" i="10"/>
  <c r="I28" i="10" s="1"/>
  <c r="G28" i="10"/>
  <c r="F29" i="10" l="1"/>
  <c r="H29" i="10" s="1"/>
  <c r="I29" i="10" s="1"/>
  <c r="G29" i="10"/>
  <c r="E30" i="10"/>
  <c r="H30" i="10" l="1"/>
  <c r="I30" i="10" s="1"/>
  <c r="F30" i="10"/>
  <c r="G30" i="10"/>
  <c r="E31" i="10"/>
  <c r="F31" i="10" l="1"/>
  <c r="H31" i="10" s="1"/>
  <c r="I31" i="10" s="1"/>
  <c r="G31" i="10"/>
  <c r="E32" i="10"/>
  <c r="H32" i="10" l="1"/>
  <c r="I32" i="10" s="1"/>
  <c r="F32" i="10"/>
  <c r="G32" i="10"/>
  <c r="E33" i="10"/>
  <c r="F33" i="10" l="1"/>
  <c r="H33" i="10" s="1"/>
  <c r="I33" i="10" s="1"/>
  <c r="G33" i="10"/>
  <c r="E34" i="10" l="1"/>
  <c r="F34" i="10" l="1"/>
  <c r="E35" i="10" s="1"/>
  <c r="G34" i="10"/>
  <c r="H34" i="10" l="1"/>
  <c r="I34" i="10" s="1"/>
  <c r="F35" i="10"/>
  <c r="H35" i="10" s="1"/>
  <c r="I35" i="10" s="1"/>
  <c r="G35" i="10"/>
  <c r="E36" i="10" l="1"/>
  <c r="F36" i="10" s="1"/>
  <c r="E37" i="10" l="1"/>
  <c r="F37" i="10" s="1"/>
  <c r="G36" i="10"/>
  <c r="H36" i="10"/>
  <c r="I36" i="10" s="1"/>
  <c r="G37" i="10" l="1"/>
  <c r="H37" i="10"/>
  <c r="I37" i="10" s="1"/>
  <c r="E38" i="10"/>
  <c r="F38" i="10" l="1"/>
  <c r="G38" i="10"/>
  <c r="H38" i="10" l="1"/>
  <c r="I38" i="10" s="1"/>
  <c r="E39" i="10"/>
  <c r="F39" i="10" l="1"/>
  <c r="G39" i="10"/>
  <c r="E40" i="10"/>
  <c r="H39" i="10" l="1"/>
  <c r="I39" i="10" s="1"/>
  <c r="F40" i="10"/>
  <c r="G40" i="10"/>
  <c r="E41" i="10" l="1"/>
  <c r="H40" i="10"/>
  <c r="I40" i="10" s="1"/>
  <c r="F41" i="10"/>
  <c r="G41" i="10"/>
  <c r="H41" i="10" l="1"/>
  <c r="I41" i="10" s="1"/>
  <c r="E42" i="10"/>
  <c r="H42" i="10" l="1"/>
  <c r="I42" i="10" s="1"/>
  <c r="F42" i="10"/>
  <c r="G42" i="10"/>
  <c r="E43" i="10" l="1"/>
  <c r="H43" i="10" l="1"/>
  <c r="I43" i="10" s="1"/>
  <c r="F43" i="10"/>
  <c r="G43" i="10"/>
  <c r="E44" i="10" l="1"/>
  <c r="F44" i="10" l="1"/>
  <c r="H44" i="10" s="1"/>
  <c r="I44" i="10" s="1"/>
  <c r="G44" i="10"/>
  <c r="E45" i="10" l="1"/>
  <c r="F45" i="10" l="1"/>
  <c r="H45" i="10" s="1"/>
  <c r="I45" i="10" s="1"/>
  <c r="G45" i="10"/>
  <c r="E46" i="10"/>
  <c r="H46" i="10" l="1"/>
  <c r="I46" i="10" s="1"/>
  <c r="F46" i="10"/>
  <c r="G46" i="10"/>
  <c r="E47" i="10"/>
  <c r="H47" i="10" l="1"/>
  <c r="I47" i="10" s="1"/>
  <c r="F47" i="10"/>
  <c r="G47" i="10"/>
  <c r="E48" i="10" l="1"/>
  <c r="F48" i="10" l="1"/>
  <c r="G48" i="10"/>
  <c r="H48" i="10" l="1"/>
  <c r="I48" i="10" s="1"/>
  <c r="E49" i="10"/>
  <c r="F49" i="10" l="1"/>
  <c r="G49" i="10"/>
  <c r="H49" i="10" l="1"/>
  <c r="I49" i="10" s="1"/>
  <c r="E50" i="10"/>
  <c r="F50" i="10" l="1"/>
  <c r="G50" i="10"/>
  <c r="H50" i="10" l="1"/>
  <c r="I50" i="10" s="1"/>
  <c r="E51" i="10"/>
  <c r="F51" i="10" l="1"/>
  <c r="E52" i="10" s="1"/>
  <c r="G51" i="10"/>
  <c r="H51" i="10" l="1"/>
  <c r="I51" i="10" s="1"/>
  <c r="F52" i="10"/>
  <c r="H52" i="10" s="1"/>
  <c r="I52" i="10" s="1"/>
  <c r="G52" i="10"/>
  <c r="E53" i="10" l="1"/>
  <c r="F53" i="10" s="1"/>
  <c r="E54" i="10" l="1"/>
  <c r="F54" i="10" s="1"/>
  <c r="G53" i="10"/>
  <c r="H53" i="10"/>
  <c r="I53" i="10" s="1"/>
  <c r="G54" i="10" l="1"/>
  <c r="H54" i="10"/>
  <c r="I54" i="10" s="1"/>
  <c r="E55" i="10"/>
  <c r="F55" i="10" l="1"/>
  <c r="H55" i="10" s="1"/>
  <c r="I55" i="10" s="1"/>
  <c r="G55" i="10"/>
  <c r="E56" i="10" l="1"/>
  <c r="F56" i="10" l="1"/>
  <c r="H56" i="10" s="1"/>
  <c r="I56" i="10" s="1"/>
  <c r="G56" i="10"/>
  <c r="E57" i="10"/>
  <c r="H57" i="10" l="1"/>
  <c r="I57" i="10" s="1"/>
  <c r="F57" i="10"/>
  <c r="G57" i="10"/>
  <c r="E58" i="10" l="1"/>
  <c r="H58" i="10" l="1"/>
  <c r="I58" i="10" s="1"/>
  <c r="F58" i="10"/>
  <c r="G58" i="10"/>
  <c r="E59" i="10" l="1"/>
  <c r="F59" i="10" l="1"/>
  <c r="E60" i="10" s="1"/>
  <c r="G59" i="10"/>
  <c r="H59" i="10" l="1"/>
  <c r="I59" i="10" s="1"/>
  <c r="F60" i="10"/>
  <c r="G60" i="10"/>
  <c r="E61" i="10" l="1"/>
  <c r="H60" i="10"/>
  <c r="I60" i="10" s="1"/>
  <c r="F61" i="10"/>
  <c r="G61" i="10"/>
  <c r="H61" i="10" l="1"/>
  <c r="I61" i="10" s="1"/>
  <c r="E62" i="10"/>
  <c r="H62" i="10" l="1"/>
  <c r="I62" i="10" s="1"/>
  <c r="F62" i="10"/>
  <c r="G62" i="10"/>
  <c r="E63" i="10"/>
  <c r="H63" i="10" l="1"/>
  <c r="I63" i="10" s="1"/>
  <c r="F63" i="10"/>
  <c r="G63" i="10"/>
  <c r="E64" i="10" l="1"/>
  <c r="H64" i="10" l="1"/>
  <c r="I64" i="10" s="1"/>
  <c r="F64" i="10"/>
  <c r="G64" i="10"/>
  <c r="E65" i="10" l="1"/>
  <c r="F65" i="10" l="1"/>
  <c r="H65" i="10" s="1"/>
  <c r="I65" i="10" s="1"/>
  <c r="G65" i="10"/>
  <c r="E66" i="10"/>
  <c r="F66" i="10" l="1"/>
  <c r="H66" i="10" s="1"/>
  <c r="I66" i="10" s="1"/>
  <c r="G66" i="10"/>
  <c r="E67" i="10" l="1"/>
  <c r="G67" i="10" s="1"/>
  <c r="H67" i="10" l="1"/>
  <c r="I67" i="10" s="1"/>
  <c r="F67" i="10"/>
  <c r="E68" i="10"/>
  <c r="H68" i="10" l="1"/>
  <c r="I68" i="10" s="1"/>
  <c r="F68" i="10"/>
  <c r="E69" i="10" s="1"/>
  <c r="G68" i="10"/>
  <c r="H69" i="10" l="1"/>
  <c r="I69" i="10" s="1"/>
  <c r="F69" i="10"/>
  <c r="G69" i="10"/>
  <c r="E70" i="10"/>
  <c r="F70" i="10" l="1"/>
  <c r="E71" i="10" s="1"/>
  <c r="G70" i="10"/>
  <c r="G71" i="10" l="1"/>
  <c r="H70" i="10"/>
  <c r="I70" i="10" s="1"/>
  <c r="F71" i="10"/>
  <c r="E72" i="10" s="1"/>
  <c r="G72" i="10" l="1"/>
  <c r="H71" i="10"/>
  <c r="I71" i="10" s="1"/>
  <c r="F72" i="10"/>
  <c r="H72" i="10" l="1"/>
  <c r="I72" i="10" s="1"/>
  <c r="E73" i="10"/>
  <c r="G73" i="10" l="1"/>
  <c r="F73" i="10"/>
  <c r="E74" i="10" s="1"/>
  <c r="H73" i="10" l="1"/>
  <c r="I73" i="10" s="1"/>
  <c r="F74" i="10"/>
  <c r="E75" i="10" s="1"/>
  <c r="G74" i="10"/>
  <c r="H75" i="10" l="1"/>
  <c r="I75" i="10" s="1"/>
  <c r="H74" i="10"/>
  <c r="I74" i="10" s="1"/>
  <c r="F75" i="10"/>
  <c r="G75" i="10"/>
  <c r="E76" i="10"/>
  <c r="F76" i="10" l="1"/>
  <c r="H76" i="10" s="1"/>
  <c r="I76" i="10" s="1"/>
  <c r="G76" i="10"/>
  <c r="E77" i="10" l="1"/>
  <c r="F77" i="10" l="1"/>
  <c r="H77" i="10" s="1"/>
  <c r="I77" i="10" s="1"/>
  <c r="G77" i="10"/>
  <c r="E78" i="10" l="1"/>
  <c r="F78" i="10" l="1"/>
  <c r="G78" i="10"/>
  <c r="E79" i="10"/>
  <c r="H79" i="10" l="1"/>
  <c r="I79" i="10" s="1"/>
  <c r="H78" i="10"/>
  <c r="I78" i="10" s="1"/>
  <c r="F79" i="10"/>
  <c r="G79" i="10"/>
  <c r="E80" i="10" l="1"/>
  <c r="H80" i="10" l="1"/>
  <c r="I80" i="10" s="1"/>
  <c r="F80" i="10"/>
  <c r="G80" i="10"/>
  <c r="E81" i="10" l="1"/>
  <c r="F81" i="10" l="1"/>
  <c r="H81" i="10" s="1"/>
  <c r="I81" i="10" s="1"/>
  <c r="G81" i="10"/>
  <c r="E82" i="10" l="1"/>
  <c r="F82" i="10" l="1"/>
  <c r="H82" i="10" s="1"/>
  <c r="I82" i="10" s="1"/>
  <c r="G82" i="10"/>
  <c r="E83" i="10" l="1"/>
  <c r="F83" i="10" l="1"/>
  <c r="H83" i="10" s="1"/>
  <c r="I83" i="10" s="1"/>
  <c r="G83" i="10"/>
  <c r="E84" i="10"/>
  <c r="F84" i="10" l="1"/>
  <c r="E85" i="10" s="1"/>
  <c r="G84" i="10"/>
  <c r="H85" i="10" l="1"/>
  <c r="I85" i="10" s="1"/>
  <c r="H84" i="10"/>
  <c r="I84" i="10" s="1"/>
  <c r="F85" i="10"/>
  <c r="G85" i="10"/>
  <c r="E86" i="10"/>
  <c r="F86" i="10" l="1"/>
  <c r="H86" i="10" s="1"/>
  <c r="I86" i="10" s="1"/>
  <c r="G86" i="10"/>
  <c r="E87" i="10"/>
  <c r="H87" i="10" l="1"/>
  <c r="I87" i="10" s="1"/>
  <c r="F87" i="10"/>
  <c r="G87" i="10"/>
  <c r="E88" i="10"/>
  <c r="F88" i="10" l="1"/>
  <c r="H88" i="10" s="1"/>
  <c r="I88" i="10" s="1"/>
  <c r="G88" i="10"/>
  <c r="E89" i="10"/>
  <c r="H89" i="10" l="1"/>
  <c r="I89" i="10" s="1"/>
  <c r="F89" i="10"/>
  <c r="G89" i="10"/>
  <c r="E90" i="10"/>
  <c r="F90" i="10" l="1"/>
  <c r="H90" i="10" s="1"/>
  <c r="I90" i="10" s="1"/>
  <c r="G90" i="10"/>
  <c r="E91" i="10" l="1"/>
  <c r="G91" i="10" l="1"/>
  <c r="F91" i="10"/>
  <c r="H91" i="10" s="1"/>
  <c r="I91" i="10" s="1"/>
  <c r="E92" i="10" l="1"/>
  <c r="G92" i="10" l="1"/>
  <c r="F92" i="10"/>
  <c r="E93" i="10" s="1"/>
  <c r="H92" i="10" l="1"/>
  <c r="I92" i="10" s="1"/>
  <c r="F93" i="10"/>
  <c r="H93" i="10" s="1"/>
  <c r="I93" i="10" s="1"/>
  <c r="G93" i="10"/>
  <c r="E94" i="10" l="1"/>
  <c r="F94" i="10" l="1"/>
  <c r="H94" i="10" s="1"/>
  <c r="I94" i="10" s="1"/>
  <c r="G94" i="10"/>
  <c r="E95" i="10" l="1"/>
  <c r="F95" i="10" s="1"/>
  <c r="E96" i="10" l="1"/>
  <c r="G96" i="10" s="1"/>
  <c r="G95" i="10"/>
  <c r="H95" i="10"/>
  <c r="I95" i="10" s="1"/>
  <c r="F96" i="10" l="1"/>
  <c r="H96" i="10" s="1"/>
  <c r="I96" i="10" s="1"/>
  <c r="E97" i="10" l="1"/>
  <c r="F97" i="10" s="1"/>
  <c r="E98" i="10" l="1"/>
  <c r="G97" i="10"/>
  <c r="H97" i="10"/>
  <c r="I97" i="10" s="1"/>
  <c r="F98" i="10"/>
  <c r="G98" i="10"/>
  <c r="E99" i="10"/>
  <c r="H98" i="10" l="1"/>
  <c r="I98" i="10" s="1"/>
  <c r="F99" i="10"/>
  <c r="H99" i="10" s="1"/>
  <c r="I99" i="10" s="1"/>
  <c r="G99" i="10"/>
  <c r="E100" i="10" l="1"/>
  <c r="F100" i="10" s="1"/>
  <c r="G100" i="10" l="1"/>
  <c r="H100" i="10"/>
  <c r="I100" i="10" s="1"/>
  <c r="E101" i="10"/>
  <c r="F101" i="10" l="1"/>
  <c r="H101" i="10" s="1"/>
  <c r="I101" i="10" s="1"/>
  <c r="G101" i="10"/>
  <c r="E102" i="10" l="1"/>
  <c r="F102" i="10" l="1"/>
  <c r="H102" i="10" s="1"/>
  <c r="I102" i="10" s="1"/>
  <c r="G102" i="10"/>
  <c r="E103" i="10" l="1"/>
  <c r="F103" i="10" s="1"/>
  <c r="E104" i="10" l="1"/>
  <c r="F104" i="10" s="1"/>
  <c r="E105" i="10" s="1"/>
  <c r="G103" i="10"/>
  <c r="H103" i="10"/>
  <c r="I103" i="10" s="1"/>
  <c r="G104" i="10"/>
  <c r="H104" i="10" l="1"/>
  <c r="I104" i="10" s="1"/>
  <c r="F105" i="10"/>
  <c r="H105" i="10" s="1"/>
  <c r="I105" i="10" s="1"/>
  <c r="G105" i="10"/>
  <c r="E106" i="10" l="1"/>
  <c r="F106" i="10"/>
  <c r="E107" i="10" s="1"/>
  <c r="G106" i="10"/>
  <c r="H106" i="10" l="1"/>
  <c r="I106" i="10" s="1"/>
  <c r="F107" i="10"/>
  <c r="H107" i="10" s="1"/>
  <c r="I107" i="10" s="1"/>
  <c r="G107" i="10"/>
  <c r="E108" i="10" l="1"/>
  <c r="F108" i="10" l="1"/>
  <c r="E109" i="10" s="1"/>
  <c r="G108" i="10"/>
  <c r="H108" i="10" l="1"/>
  <c r="I108" i="10" s="1"/>
  <c r="F109" i="10"/>
  <c r="H109" i="10" s="1"/>
  <c r="I109" i="10" s="1"/>
  <c r="G109" i="10"/>
  <c r="E110" i="10" l="1"/>
  <c r="F110" i="10" l="1"/>
  <c r="E111" i="10" s="1"/>
  <c r="G110" i="10"/>
  <c r="H111" i="10" l="1"/>
  <c r="I111" i="10" s="1"/>
  <c r="H110" i="10"/>
  <c r="I110" i="10" s="1"/>
  <c r="F111" i="10"/>
  <c r="G111" i="10"/>
  <c r="E112" i="10"/>
  <c r="G112" i="10" l="1"/>
  <c r="F112" i="10"/>
  <c r="E113" i="10" s="1"/>
  <c r="H113" i="10" l="1"/>
  <c r="H112" i="10"/>
  <c r="I112" i="10" s="1"/>
  <c r="F113" i="10"/>
  <c r="G113" i="10"/>
  <c r="I113" i="10"/>
  <c r="E114" i="10" l="1"/>
  <c r="H114" i="10" l="1"/>
  <c r="I114" i="10" s="1"/>
  <c r="F114" i="10"/>
  <c r="G114" i="10"/>
  <c r="E115" i="10" l="1"/>
  <c r="H115" i="10" l="1"/>
  <c r="I115" i="10" s="1"/>
  <c r="F115" i="10"/>
  <c r="G115" i="10"/>
  <c r="E116" i="10" l="1"/>
  <c r="F116" i="10" l="1"/>
  <c r="G116" i="10"/>
  <c r="H116" i="10" l="1"/>
  <c r="I116" i="10" s="1"/>
  <c r="E117" i="10"/>
  <c r="F117" i="10" l="1"/>
  <c r="G117" i="10"/>
  <c r="H117" i="10" l="1"/>
  <c r="I117" i="10" s="1"/>
  <c r="E118" i="10"/>
  <c r="F118" i="10" l="1"/>
  <c r="G118" i="10"/>
  <c r="H118" i="10" l="1"/>
  <c r="I118" i="10" s="1"/>
  <c r="E119" i="10"/>
  <c r="F119" i="10" l="1"/>
  <c r="H119" i="10" s="1"/>
  <c r="I119" i="10" s="1"/>
  <c r="G119" i="10"/>
  <c r="E120" i="10" l="1"/>
  <c r="H120" i="10" l="1"/>
  <c r="I120" i="10" s="1"/>
  <c r="F120" i="10"/>
  <c r="G120" i="10"/>
  <c r="E121" i="10" l="1"/>
  <c r="H121" i="10" l="1"/>
  <c r="I121" i="10" s="1"/>
  <c r="F121" i="10"/>
  <c r="G121" i="10"/>
  <c r="E122" i="10" l="1"/>
  <c r="F122" i="10" l="1"/>
  <c r="H132" i="10" s="1"/>
  <c r="G122" i="10"/>
  <c r="H130" i="10" l="1"/>
  <c r="E123" i="10"/>
  <c r="H133" i="10"/>
  <c r="H134" i="10"/>
  <c r="H125" i="10"/>
  <c r="H129" i="10"/>
  <c r="H131" i="10"/>
  <c r="H122" i="10"/>
  <c r="I122" i="10" s="1"/>
  <c r="H124" i="10"/>
  <c r="H123" i="10"/>
  <c r="H128" i="10"/>
  <c r="H126" i="10"/>
  <c r="I126" i="10" s="1"/>
  <c r="H127" i="10"/>
  <c r="F123" i="10"/>
  <c r="G123" i="10"/>
  <c r="H135" i="10" s="1"/>
  <c r="E124" i="10"/>
  <c r="I125" i="10"/>
  <c r="I130" i="10"/>
  <c r="I134" i="10"/>
  <c r="I131" i="10"/>
  <c r="I123" i="10"/>
  <c r="I129" i="10"/>
  <c r="I133" i="10"/>
  <c r="I132" i="10"/>
  <c r="I124" i="10"/>
  <c r="I128" i="10"/>
  <c r="I127" i="10"/>
  <c r="F124" i="10" l="1"/>
  <c r="E125" i="10" s="1"/>
  <c r="G124" i="10"/>
  <c r="I135" i="10"/>
  <c r="F125" i="10" l="1"/>
  <c r="E126" i="10" s="1"/>
  <c r="G125" i="10"/>
  <c r="F126" i="10" l="1"/>
  <c r="E127" i="10" s="1"/>
  <c r="G126" i="10"/>
  <c r="F127" i="10" l="1"/>
  <c r="E128" i="10" s="1"/>
  <c r="G127" i="10"/>
  <c r="F128" i="10" l="1"/>
  <c r="E129" i="10" s="1"/>
  <c r="G128" i="10"/>
  <c r="F129" i="10" l="1"/>
  <c r="E130" i="10" s="1"/>
  <c r="G129" i="10"/>
  <c r="F130" i="10" l="1"/>
  <c r="E131" i="10" s="1"/>
  <c r="G130" i="10"/>
  <c r="F131" i="10" l="1"/>
  <c r="E132" i="10" s="1"/>
  <c r="G131" i="10"/>
  <c r="F132" i="10" l="1"/>
  <c r="E133" i="10" s="1"/>
  <c r="G132" i="10"/>
  <c r="F133" i="10" l="1"/>
  <c r="E134" i="10" s="1"/>
  <c r="G133" i="10"/>
  <c r="F134" i="10" l="1"/>
  <c r="E135" i="10" s="1"/>
  <c r="G134" i="10"/>
  <c r="F135" i="10" l="1"/>
  <c r="D146" i="10" s="1"/>
  <c r="G135" i="10"/>
  <c r="D142" i="10" l="1"/>
  <c r="D148" i="10"/>
  <c r="D139" i="10"/>
  <c r="D149" i="10"/>
  <c r="D144" i="10"/>
  <c r="D147" i="10"/>
  <c r="D145" i="10"/>
  <c r="D140" i="10"/>
  <c r="D143" i="10"/>
  <c r="D141" i="10"/>
  <c r="D150" i="10"/>
  <c r="I17" i="12"/>
  <c r="E17" i="12"/>
  <c r="F17" i="12" l="1"/>
  <c r="E18" i="12" s="1"/>
  <c r="H17" i="12"/>
  <c r="I18" i="12" l="1"/>
  <c r="F18" i="12"/>
  <c r="I19" i="12"/>
  <c r="H18" i="12"/>
  <c r="E19" i="12"/>
  <c r="F19" i="12" l="1"/>
  <c r="I20" i="12" s="1"/>
  <c r="H19" i="12"/>
  <c r="E20" i="12" l="1"/>
  <c r="F20" i="12" l="1"/>
  <c r="I21" i="12" s="1"/>
  <c r="H20" i="12"/>
  <c r="E21" i="12" l="1"/>
  <c r="F21" i="12" s="1"/>
  <c r="I22" i="12" s="1"/>
  <c r="H21" i="12"/>
  <c r="E22" i="12" l="1"/>
  <c r="F22" i="12" l="1"/>
  <c r="I23" i="12" s="1"/>
  <c r="H22" i="12"/>
  <c r="E23" i="12" l="1"/>
  <c r="F23" i="12" s="1"/>
  <c r="H23" i="12"/>
  <c r="I24" i="12" l="1"/>
  <c r="E24" i="12"/>
  <c r="F24" i="12" s="1"/>
  <c r="I25" i="12" s="1"/>
  <c r="E25" i="12" l="1"/>
  <c r="I26" i="12" s="1"/>
  <c r="H24" i="12"/>
  <c r="H25" i="12"/>
  <c r="F25" i="12"/>
  <c r="E26" i="12" s="1"/>
  <c r="F26" i="12" l="1"/>
  <c r="I27" i="12" s="1"/>
  <c r="H26" i="12"/>
  <c r="E27" i="12" l="1"/>
  <c r="F27" i="12" l="1"/>
  <c r="I28" i="12" s="1"/>
  <c r="H27" i="12"/>
  <c r="E28" i="12"/>
  <c r="F28" i="12" l="1"/>
  <c r="H28" i="12"/>
  <c r="I29" i="12"/>
  <c r="E29" i="12"/>
  <c r="F29" i="12" l="1"/>
  <c r="I30" i="12" s="1"/>
  <c r="H29" i="12"/>
  <c r="E30" i="12"/>
  <c r="F30" i="12" l="1"/>
  <c r="I31" i="12" s="1"/>
  <c r="H30" i="12"/>
  <c r="E31" i="12" l="1"/>
  <c r="H31" i="12" s="1"/>
  <c r="F31" i="12" l="1"/>
  <c r="E32" i="12" s="1"/>
  <c r="F32" i="12"/>
  <c r="I33" i="12" s="1"/>
  <c r="H32" i="12"/>
  <c r="I32" i="12"/>
  <c r="E33" i="12" l="1"/>
  <c r="F33" i="12" s="1"/>
  <c r="E34" i="12" s="1"/>
  <c r="H33" i="12"/>
  <c r="I34" i="12" l="1"/>
  <c r="F34" i="12"/>
  <c r="I35" i="12" s="1"/>
  <c r="H34" i="12"/>
  <c r="E35" i="12"/>
  <c r="F35" i="12" l="1"/>
  <c r="E36" i="12" s="1"/>
  <c r="H35" i="12"/>
  <c r="I36" i="12" l="1"/>
  <c r="F36" i="12"/>
  <c r="I37" i="12" s="1"/>
  <c r="H36" i="12"/>
  <c r="E37" i="12"/>
  <c r="F37" i="12" l="1"/>
  <c r="I38" i="12" s="1"/>
  <c r="H37" i="12"/>
  <c r="E38" i="12"/>
  <c r="F38" i="12" l="1"/>
  <c r="I39" i="12" s="1"/>
  <c r="H38" i="12"/>
  <c r="E39" i="12"/>
  <c r="F39" i="12" l="1"/>
  <c r="I40" i="12" s="1"/>
  <c r="H39" i="12"/>
  <c r="E40" i="12" l="1"/>
  <c r="F40" i="12" s="1"/>
  <c r="I41" i="12" s="1"/>
  <c r="H40" i="12" l="1"/>
  <c r="E41" i="12"/>
  <c r="F41" i="12"/>
  <c r="E42" i="12" s="1"/>
  <c r="H41" i="12"/>
  <c r="I42" i="12" l="1"/>
  <c r="H42" i="12"/>
  <c r="F42" i="12"/>
  <c r="I43" i="12" s="1"/>
  <c r="E43" i="12" l="1"/>
  <c r="F43" i="12" s="1"/>
  <c r="I44" i="12" s="1"/>
  <c r="H43" i="12" l="1"/>
  <c r="E44" i="12"/>
  <c r="F44" i="12"/>
  <c r="E45" i="12" s="1"/>
  <c r="H44" i="12"/>
  <c r="I45" i="12" l="1"/>
  <c r="F45" i="12"/>
  <c r="I46" i="12" s="1"/>
  <c r="H45" i="12"/>
  <c r="E46" i="12" l="1"/>
  <c r="H46" i="12" l="1"/>
  <c r="F46" i="12"/>
  <c r="I47" i="12" s="1"/>
  <c r="E47" i="12" l="1"/>
  <c r="F47" i="12" l="1"/>
  <c r="I48" i="12" s="1"/>
  <c r="H47" i="12"/>
  <c r="E48" i="12"/>
  <c r="F48" i="12" l="1"/>
  <c r="I49" i="12" s="1"/>
  <c r="H48" i="12"/>
  <c r="E49" i="12" l="1"/>
  <c r="F49" i="12" l="1"/>
  <c r="I50" i="12"/>
  <c r="E50" i="12"/>
  <c r="H49" i="12"/>
  <c r="F50" i="12" l="1"/>
  <c r="I51" i="12" s="1"/>
  <c r="H50" i="12"/>
  <c r="E51" i="12" l="1"/>
  <c r="F51" i="12" l="1"/>
  <c r="I52" i="12"/>
  <c r="H51" i="12"/>
  <c r="E52" i="12"/>
  <c r="E53" i="12" l="1"/>
  <c r="F52" i="12"/>
  <c r="I53" i="12" s="1"/>
  <c r="H52" i="12"/>
  <c r="F53" i="12" l="1"/>
  <c r="E54" i="12" s="1"/>
  <c r="I54" i="12"/>
  <c r="H53" i="12"/>
  <c r="F54" i="12" l="1"/>
  <c r="I55" i="12" s="1"/>
  <c r="H54" i="12"/>
  <c r="E55" i="12"/>
  <c r="F55" i="12" l="1"/>
  <c r="I56" i="12" s="1"/>
  <c r="H55" i="12"/>
  <c r="E56" i="12"/>
  <c r="F56" i="12" l="1"/>
  <c r="H56" i="12"/>
  <c r="I57" i="12"/>
  <c r="E57" i="12"/>
  <c r="F57" i="12" l="1"/>
  <c r="H57" i="12"/>
  <c r="I58" i="12"/>
  <c r="E58" i="12"/>
  <c r="F58" i="12" l="1"/>
  <c r="E59" i="12" s="1"/>
  <c r="H58" i="12"/>
  <c r="I59" i="12" l="1"/>
  <c r="F59" i="12"/>
  <c r="I60" i="12" s="1"/>
  <c r="H59" i="12"/>
  <c r="E60" i="12"/>
  <c r="H60" i="12" l="1"/>
  <c r="F60" i="12"/>
  <c r="I61" i="12" s="1"/>
  <c r="E61" i="12" l="1"/>
  <c r="F61" i="12" l="1"/>
  <c r="I62" i="12" s="1"/>
  <c r="H61" i="12"/>
  <c r="E62" i="12" l="1"/>
  <c r="F62" i="12" l="1"/>
  <c r="I63" i="12" s="1"/>
  <c r="H62" i="12"/>
  <c r="E63" i="12"/>
  <c r="F63" i="12" l="1"/>
  <c r="I64" i="12" s="1"/>
  <c r="H63" i="12"/>
  <c r="E64" i="12"/>
  <c r="F64" i="12" l="1"/>
  <c r="I65" i="12" s="1"/>
  <c r="H64" i="12"/>
  <c r="E65" i="12"/>
  <c r="H65" i="12" l="1"/>
  <c r="F65" i="12"/>
  <c r="I66" i="12" s="1"/>
  <c r="E66" i="12" l="1"/>
  <c r="F66" i="12" l="1"/>
  <c r="H66" i="12"/>
  <c r="E67" i="12"/>
  <c r="I67" i="12"/>
  <c r="F67" i="12" l="1"/>
  <c r="I68" i="12" s="1"/>
  <c r="H67" i="12"/>
  <c r="E68" i="12"/>
  <c r="F68" i="12" l="1"/>
  <c r="I69" i="12" s="1"/>
  <c r="H68" i="12"/>
  <c r="E69" i="12" l="1"/>
  <c r="F69" i="12" l="1"/>
  <c r="I70" i="12" s="1"/>
  <c r="H69" i="12"/>
  <c r="E70" i="12" l="1"/>
  <c r="H70" i="12" l="1"/>
  <c r="F70" i="12"/>
  <c r="E71" i="12" s="1"/>
  <c r="F71" i="12" l="1"/>
  <c r="H71" i="12"/>
  <c r="I72" i="12"/>
  <c r="E72" i="12"/>
  <c r="I71" i="12"/>
  <c r="F72" i="12" l="1"/>
  <c r="I73" i="12" s="1"/>
  <c r="H72" i="12"/>
  <c r="E73" i="12" l="1"/>
  <c r="F73" i="12" l="1"/>
  <c r="I74" i="12" s="1"/>
  <c r="H73" i="12"/>
  <c r="E74" i="12"/>
  <c r="F74" i="12" l="1"/>
  <c r="I75" i="12" s="1"/>
  <c r="H74" i="12"/>
  <c r="E75" i="12"/>
  <c r="H75" i="12" l="1"/>
  <c r="F75" i="12"/>
  <c r="I76" i="12" s="1"/>
  <c r="E76" i="12"/>
  <c r="F76" i="12" l="1"/>
  <c r="H76" i="12"/>
  <c r="I77" i="12" l="1"/>
  <c r="E77" i="12"/>
  <c r="E78" i="12" l="1"/>
  <c r="F77" i="12"/>
  <c r="I78" i="12" s="1"/>
  <c r="H77" i="12"/>
  <c r="F78" i="12" l="1"/>
  <c r="I79" i="12" s="1"/>
  <c r="H78" i="12"/>
  <c r="E79" i="12" l="1"/>
  <c r="H79" i="12" l="1"/>
  <c r="F79" i="12"/>
  <c r="I80" i="12" s="1"/>
  <c r="E80" i="12" l="1"/>
  <c r="F80" i="12" l="1"/>
  <c r="I81" i="12" s="1"/>
  <c r="H80" i="12"/>
  <c r="E81" i="12"/>
  <c r="H81" i="12" l="1"/>
  <c r="F81" i="12"/>
  <c r="I82" i="12" s="1"/>
  <c r="E82" i="12"/>
  <c r="F82" i="12" l="1"/>
  <c r="I83" i="12" s="1"/>
  <c r="H82" i="12"/>
  <c r="E83" i="12"/>
  <c r="F83" i="12" l="1"/>
  <c r="E84" i="12" s="1"/>
  <c r="H83" i="12"/>
  <c r="I84" i="12" l="1"/>
  <c r="H84" i="12"/>
  <c r="F84" i="12"/>
  <c r="I85" i="12" s="1"/>
  <c r="E85" i="12"/>
  <c r="F85" i="12" l="1"/>
  <c r="I86" i="12" s="1"/>
  <c r="H85" i="12"/>
  <c r="E86" i="12"/>
  <c r="H86" i="12" s="1"/>
  <c r="F86" i="12" l="1"/>
  <c r="I87" i="12" s="1"/>
  <c r="E87" i="12" l="1"/>
  <c r="H87" i="12" l="1"/>
  <c r="F87" i="12"/>
  <c r="E88" i="12" s="1"/>
  <c r="I88" i="12"/>
  <c r="F88" i="12" l="1"/>
  <c r="I89" i="12" s="1"/>
  <c r="H88" i="12"/>
  <c r="E89" i="12"/>
  <c r="H89" i="12" l="1"/>
  <c r="F89" i="12"/>
  <c r="I90" i="12" s="1"/>
  <c r="E90" i="12" l="1"/>
  <c r="H90" i="12" l="1"/>
  <c r="F90" i="12"/>
  <c r="E91" i="12" s="1"/>
  <c r="I91" i="12"/>
  <c r="H91" i="12" l="1"/>
  <c r="F91" i="12"/>
  <c r="I92" i="12" s="1"/>
  <c r="E92" i="12" l="1"/>
  <c r="H92" i="12" l="1"/>
  <c r="F92" i="12"/>
  <c r="E93" i="12" s="1"/>
  <c r="I93" i="12" l="1"/>
  <c r="H93" i="12"/>
  <c r="F93" i="12"/>
  <c r="I94" i="12" s="1"/>
  <c r="E94" i="12" l="1"/>
  <c r="F94" i="12" l="1"/>
  <c r="E95" i="12" s="1"/>
  <c r="H94" i="12"/>
  <c r="H95" i="12" l="1"/>
  <c r="F95" i="12"/>
  <c r="I96" i="12" s="1"/>
  <c r="E96" i="12"/>
  <c r="I95" i="12"/>
  <c r="H96" i="12" l="1"/>
  <c r="F96" i="12"/>
  <c r="I97" i="12" s="1"/>
  <c r="E97" i="12" l="1"/>
  <c r="F97" i="12" l="1"/>
  <c r="E98" i="12" s="1"/>
  <c r="H97" i="12"/>
  <c r="H98" i="12" l="1"/>
  <c r="F98" i="12"/>
  <c r="E99" i="12" s="1"/>
  <c r="I99" i="12"/>
  <c r="I98" i="12"/>
  <c r="H99" i="12" l="1"/>
  <c r="F99" i="12"/>
  <c r="E100" i="12" s="1"/>
  <c r="I100" i="12"/>
  <c r="F100" i="12" l="1"/>
  <c r="I101" i="12" s="1"/>
  <c r="H100" i="12"/>
  <c r="E101" i="12"/>
  <c r="F101" i="12" l="1"/>
  <c r="I102" i="12" s="1"/>
  <c r="H101" i="12"/>
  <c r="E102" i="12" l="1"/>
  <c r="F102" i="12" l="1"/>
  <c r="E103" i="12" s="1"/>
  <c r="H102" i="12"/>
  <c r="H103" i="12" l="1"/>
  <c r="F103" i="12"/>
  <c r="I104" i="12" s="1"/>
  <c r="I103" i="12"/>
  <c r="E104" i="12" l="1"/>
  <c r="H104" i="12" l="1"/>
  <c r="F104" i="12"/>
  <c r="I105" i="12" s="1"/>
  <c r="E105" i="12" l="1"/>
  <c r="H105" i="12" l="1"/>
  <c r="F105" i="12"/>
  <c r="E106" i="12" s="1"/>
  <c r="F106" i="12" l="1"/>
  <c r="I107" i="12" s="1"/>
  <c r="H106" i="12"/>
  <c r="E107" i="12"/>
  <c r="I106" i="12"/>
  <c r="F107" i="12" l="1"/>
  <c r="H107" i="12"/>
  <c r="E108" i="12"/>
  <c r="I108" i="12"/>
  <c r="H108" i="12" l="1"/>
  <c r="F108" i="12"/>
  <c r="I109" i="12" s="1"/>
  <c r="E109" i="12" l="1"/>
  <c r="F109" i="12" l="1"/>
  <c r="I110" i="12" s="1"/>
  <c r="H109" i="12"/>
  <c r="E110" i="12" l="1"/>
  <c r="F110" i="12" l="1"/>
  <c r="I111" i="12" s="1"/>
  <c r="H110" i="12"/>
  <c r="E111" i="12"/>
  <c r="F111" i="12" l="1"/>
  <c r="I112" i="12" s="1"/>
  <c r="H111" i="12"/>
  <c r="E112" i="12" l="1"/>
  <c r="H112" i="12" l="1"/>
  <c r="F112" i="12"/>
  <c r="E113" i="12" s="1"/>
  <c r="F113" i="12" l="1"/>
  <c r="I114" i="12" s="1"/>
  <c r="H113" i="12"/>
  <c r="E114" i="12"/>
  <c r="I113" i="12"/>
  <c r="F114" i="12" l="1"/>
  <c r="I115" i="12" s="1"/>
  <c r="H114" i="12"/>
  <c r="E115" i="12" l="1"/>
  <c r="H115" i="12" l="1"/>
  <c r="F115" i="12"/>
  <c r="I116" i="12" s="1"/>
  <c r="E116" i="12"/>
  <c r="F116" i="12" l="1"/>
  <c r="I117" i="12" s="1"/>
  <c r="H116" i="12"/>
  <c r="E117" i="12" l="1"/>
  <c r="H117" i="12" l="1"/>
  <c r="F117" i="12"/>
  <c r="I118" i="12" s="1"/>
  <c r="E118" i="12"/>
  <c r="H118" i="12" l="1"/>
  <c r="F118" i="12"/>
  <c r="E119" i="12" s="1"/>
  <c r="F119" i="12" l="1"/>
  <c r="E120" i="12" s="1"/>
  <c r="H119" i="12"/>
  <c r="I119" i="12"/>
  <c r="I120" i="12" l="1"/>
  <c r="E121" i="12"/>
  <c r="H120" i="12"/>
  <c r="F120" i="12"/>
  <c r="I121" i="12" s="1"/>
  <c r="H121" i="12" l="1"/>
  <c r="F121" i="12"/>
  <c r="E122" i="12" s="1"/>
  <c r="H122" i="12" l="1"/>
  <c r="F122" i="12"/>
  <c r="I123" i="12" s="1"/>
  <c r="I122" i="12"/>
  <c r="E123" i="12" l="1"/>
  <c r="H123" i="12" l="1"/>
  <c r="F123" i="12"/>
  <c r="I129" i="12" l="1"/>
  <c r="E124" i="12"/>
  <c r="I127" i="12"/>
  <c r="I128" i="12"/>
  <c r="I134" i="12"/>
  <c r="I126" i="12"/>
  <c r="I131" i="12"/>
  <c r="I132" i="12"/>
  <c r="I124" i="12"/>
  <c r="I133" i="12"/>
  <c r="I125" i="12"/>
  <c r="I130" i="12"/>
  <c r="I135" i="12"/>
  <c r="F124" i="12" l="1"/>
  <c r="E125" i="12" s="1"/>
  <c r="H124" i="12"/>
  <c r="I136" i="12" s="1"/>
  <c r="H125" i="12" l="1"/>
  <c r="F125" i="12"/>
  <c r="E126" i="12"/>
  <c r="H126" i="12" l="1"/>
  <c r="F126" i="12"/>
  <c r="E127" i="12" s="1"/>
  <c r="H127" i="12" l="1"/>
  <c r="F127" i="12"/>
  <c r="E128" i="12"/>
  <c r="H128" i="12" l="1"/>
  <c r="E129" i="12"/>
  <c r="F128" i="12"/>
  <c r="H129" i="12" l="1"/>
  <c r="F129" i="12"/>
  <c r="E130" i="12"/>
  <c r="F130" i="12" l="1"/>
  <c r="E131" i="12"/>
  <c r="H130" i="12"/>
  <c r="F131" i="12" l="1"/>
  <c r="E132" i="12" s="1"/>
  <c r="F132" i="12" s="1"/>
  <c r="H131" i="12"/>
  <c r="E133" i="12" l="1"/>
  <c r="H133" i="12" s="1"/>
  <c r="H132" i="12"/>
  <c r="F133" i="12" l="1"/>
  <c r="E134" i="12" s="1"/>
  <c r="F134" i="12" l="1"/>
  <c r="E135" i="12" s="1"/>
  <c r="H134" i="12"/>
  <c r="H135" i="12" l="1"/>
  <c r="F135" i="12"/>
  <c r="E136" i="12" s="1"/>
  <c r="H136" i="12" l="1"/>
  <c r="C151" i="12" s="1"/>
  <c r="C144" i="12"/>
  <c r="F136" i="12"/>
  <c r="C141" i="12" s="1"/>
  <c r="C145" i="12"/>
  <c r="C143" i="12"/>
  <c r="C148" i="12"/>
  <c r="C146" i="12"/>
  <c r="C149" i="12" l="1"/>
  <c r="C147" i="12"/>
  <c r="C142" i="12"/>
  <c r="C140" i="12"/>
  <c r="C150" i="12"/>
</calcChain>
</file>

<file path=xl/sharedStrings.xml><?xml version="1.0" encoding="utf-8"?>
<sst xmlns="http://schemas.openxmlformats.org/spreadsheetml/2006/main" count="246" uniqueCount="162">
  <si>
    <t>Month</t>
  </si>
  <si>
    <t>Nilai_Ekspor</t>
  </si>
  <si>
    <t>mu</t>
  </si>
  <si>
    <t>sigma</t>
  </si>
  <si>
    <t>T</t>
  </si>
  <si>
    <t>Data sum</t>
  </si>
  <si>
    <t>Xt-mu</t>
  </si>
  <si>
    <t>(Xt-mu)^2</t>
  </si>
  <si>
    <t>sum=</t>
  </si>
  <si>
    <t>(xt-mu)^3</t>
  </si>
  <si>
    <t>(xt-mu)^4</t>
  </si>
  <si>
    <t>Skewness</t>
  </si>
  <si>
    <t>Kurtosis</t>
  </si>
  <si>
    <t>sum/T</t>
  </si>
  <si>
    <t>Bulan</t>
  </si>
  <si>
    <t>Nilai Ekspor</t>
  </si>
  <si>
    <t>Kelompok</t>
  </si>
  <si>
    <t>Ranking Awal</t>
  </si>
  <si>
    <t>Ranking Fix</t>
  </si>
  <si>
    <t>Rank K1</t>
  </si>
  <si>
    <t>Rank K2</t>
  </si>
  <si>
    <t>Rank K3</t>
  </si>
  <si>
    <t>Rank K4</t>
  </si>
  <si>
    <t>Rank K5</t>
  </si>
  <si>
    <t>Rank K6</t>
  </si>
  <si>
    <t>Rank K7</t>
  </si>
  <si>
    <t>Rank K8</t>
  </si>
  <si>
    <t>Rank K9</t>
  </si>
  <si>
    <t>Rank K10</t>
  </si>
  <si>
    <t>Rank K11</t>
  </si>
  <si>
    <t>Nilai H</t>
  </si>
  <si>
    <t>df</t>
  </si>
  <si>
    <t>chisquare (0.05,11)</t>
  </si>
  <si>
    <t>H&gt;chi</t>
  </si>
  <si>
    <t>artinya tolak H0</t>
  </si>
  <si>
    <t>Kelompok tidak berasal dari populasi yg sama</t>
  </si>
  <si>
    <t>misal acf lag ke-1</t>
  </si>
  <si>
    <t>rho_1</t>
  </si>
  <si>
    <t>cov1(Xt,Xt+1)/var1(Xt)</t>
  </si>
  <si>
    <t>cov1</t>
  </si>
  <si>
    <t>Uji Jarque-Bera</t>
  </si>
  <si>
    <t>n</t>
  </si>
  <si>
    <t>&gt; model3$residuals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</si>
  <si>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</si>
  <si>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</si>
  <si>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</si>
  <si>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</si>
  <si>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</si>
  <si>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</si>
  <si>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</si>
  <si>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</si>
  <si>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</si>
  <si>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</si>
  <si>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</si>
  <si>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</si>
  <si>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\mu</t>
  </si>
  <si>
    <t>(Xt-mu)^3</t>
  </si>
  <si>
    <t>(Xt-mu)^4</t>
  </si>
  <si>
    <t>sum</t>
  </si>
  <si>
    <t>sum/n</t>
  </si>
  <si>
    <t>JB=</t>
  </si>
  <si>
    <t>Chi tabel</t>
  </si>
  <si>
    <t>JB</t>
  </si>
  <si>
    <t>p-value</t>
  </si>
  <si>
    <t>memenuhi asumsi normalitas</t>
  </si>
  <si>
    <t>Uji Ljung Box</t>
  </si>
  <si>
    <t>White noise</t>
  </si>
  <si>
    <t>Lag 1</t>
  </si>
  <si>
    <t>Lag 2</t>
  </si>
  <si>
    <t>n=119</t>
  </si>
  <si>
    <t>Q</t>
  </si>
  <si>
    <t>&gt;0.05</t>
  </si>
  <si>
    <t>Memenuhi asumsi white noise</t>
  </si>
  <si>
    <t>&gt; exportdiff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</si>
  <si>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</si>
  <si>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</si>
  <si>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</si>
  <si>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</si>
  <si>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</si>
  <si>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</si>
  <si>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</si>
  <si>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</si>
  <si>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</si>
  <si>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</si>
  <si>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</si>
  <si>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</si>
  <si>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</si>
  <si>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</si>
  <si>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</si>
  <si>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</si>
  <si>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</si>
  <si>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</si>
  <si>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</si>
  <si>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</si>
  <si>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</si>
  <si>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</si>
  <si>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</si>
  <si>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t-stat</t>
  </si>
  <si>
    <t>t-tabel</t>
  </si>
  <si>
    <t>&lt;</t>
  </si>
  <si>
    <t>Data stasioner</t>
  </si>
  <si>
    <t>Testing</t>
  </si>
  <si>
    <t>Point Forecast</t>
  </si>
  <si>
    <t>&lt;dbl&gt;</t>
  </si>
  <si>
    <t>Lo 80</t>
  </si>
  <si>
    <t>Hi 80</t>
  </si>
  <si>
    <t>Lo 95</t>
  </si>
  <si>
    <t>Hi 95</t>
  </si>
  <si>
    <t>c=12 karena bulan dalam tahunan</t>
  </si>
  <si>
    <t>SAMA</t>
  </si>
  <si>
    <t>Level</t>
  </si>
  <si>
    <t>Trend</t>
  </si>
  <si>
    <t>Seasonal</t>
  </si>
  <si>
    <t>Forecast</t>
  </si>
  <si>
    <t>Error</t>
  </si>
  <si>
    <t>Smoothing Parameters</t>
  </si>
  <si>
    <t>alpha</t>
  </si>
  <si>
    <t>beta</t>
  </si>
  <si>
    <t>gamma</t>
  </si>
  <si>
    <t>k</t>
  </si>
  <si>
    <t>Yt+1-Yt</t>
  </si>
  <si>
    <t>Lo dan b0</t>
  </si>
  <si>
    <t>Lt</t>
  </si>
  <si>
    <t>bt</t>
  </si>
  <si>
    <t>St-L</t>
  </si>
  <si>
    <t>Ft</t>
  </si>
  <si>
    <t>Coefficients:</t>
  </si>
  <si>
    <t xml:space="preserve">           [,1]</t>
  </si>
  <si>
    <t>a</t>
  </si>
  <si>
    <t>b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</si>
  <si>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</si>
  <si>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</si>
  <si>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</si>
  <si>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</si>
  <si>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</si>
  <si>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</si>
  <si>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</si>
  <si>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</si>
  <si>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</si>
  <si>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</si>
  <si>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</si>
  <si>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</si>
  <si>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st mul</t>
  </si>
  <si>
    <t>st add</t>
  </si>
  <si>
    <t xml:space="preserve">             [,1]</t>
  </si>
  <si>
    <t>Yt-Y_t-1</t>
  </si>
  <si>
    <t>Aktual</t>
  </si>
  <si>
    <t>ADD</t>
  </si>
  <si>
    <t>MUL</t>
  </si>
  <si>
    <t>MAPE</t>
  </si>
  <si>
    <t>|AKT-ADD|</t>
  </si>
  <si>
    <t>|AKT-MUL|</t>
  </si>
  <si>
    <t>absADD/Yt</t>
  </si>
  <si>
    <t>absMUL/Yt</t>
  </si>
  <si>
    <t>2024</t>
  </si>
  <si>
    <t>Des</t>
  </si>
  <si>
    <t>F_(t+m)</t>
  </si>
  <si>
    <t>m</t>
  </si>
  <si>
    <t>Pred</t>
  </si>
  <si>
    <t>Pred HW Add</t>
  </si>
  <si>
    <t>|AKT-PRED|</t>
  </si>
  <si>
    <t>ABS/YT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</si>
</sst>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0.000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rgb="FF0000FF"/>
      <name val="Lucida Console"/>
      <family val="3"/>
    </font>
    <font>
      <b/>
      <sz val="9"/>
      <color rgb="FF000000"/>
      <name val="Lucida Sans"/>
      <family val="2"/>
    </font>
    <font>
      <sz val="8"/>
      <color rgb="FF000000"/>
      <name val="Lucida Sans"/>
      <family val="2"/>
    </font>
    <font>
      <sz val="9"/>
      <color rgb="FF000000"/>
      <name val="Lucida Sans"/>
      <family val="2"/>
    </font>
    <font>
      <sz val="11"/>
      <color rgb="FF1111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7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4" fontId="0" fillId="0" borderId="0" xfId="0" applyNumberFormat="1"/>
    <xf numFmtId="0" fontId="0" fillId="3" borderId="0" xfId="0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2" borderId="0" xfId="0" applyFill="1"/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165" fontId="0" fillId="0" borderId="0" xfId="0" applyNumberFormat="1"/>
    <xf numFmtId="0" fontId="7" fillId="4" borderId="3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3" borderId="3" xfId="0" applyFont="1" applyFill="1" applyBorder="1" applyAlignment="1">
      <alignment horizontal="right" vertical="center" wrapText="1"/>
    </xf>
    <xf numFmtId="0" fontId="0" fillId="5" borderId="0" xfId="0" applyFill="1"/>
    <xf numFmtId="17" fontId="0" fillId="0" borderId="0" xfId="0" quotePrefix="1" applyNumberFormat="1"/>
    <xf numFmtId="0" fontId="0" fillId="0" borderId="0" xfId="0" quotePrefix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Ekspor sebelum differencing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Differencing!$B$2</c:f>
              <c:strCache>
                <c:ptCount val="1"/>
                <c:pt idx="0">
                  <c:v>Nilai_Ekspor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Differencing!$A$3:$A$134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cat>
          <c:val>
            <c:numRef>
              <c:f>Differencing!$B$3:$B$134</c:f>
              <c:numCache>
                <c:formatCode>General</c:formatCode>
                <c:ptCount val="132"/>
                <c:pt idx="0">
                  <c:v>15375.5</c:v>
                </c:pt>
                <c:pt idx="1">
                  <c:v>15015.6</c:v>
                </c:pt>
                <c:pt idx="2">
                  <c:v>15024.6</c:v>
                </c:pt>
                <c:pt idx="3">
                  <c:v>14760.9</c:v>
                </c:pt>
                <c:pt idx="4">
                  <c:v>16133.4</c:v>
                </c:pt>
                <c:pt idx="5">
                  <c:v>14758.8</c:v>
                </c:pt>
                <c:pt idx="6">
                  <c:v>15087.9</c:v>
                </c:pt>
                <c:pt idx="7">
                  <c:v>13083.7</c:v>
                </c:pt>
                <c:pt idx="8">
                  <c:v>14706.8</c:v>
                </c:pt>
                <c:pt idx="9">
                  <c:v>15698.3</c:v>
                </c:pt>
                <c:pt idx="10">
                  <c:v>15938.6</c:v>
                </c:pt>
                <c:pt idx="11">
                  <c:v>16967.8</c:v>
                </c:pt>
                <c:pt idx="12">
                  <c:v>14472.3</c:v>
                </c:pt>
                <c:pt idx="13">
                  <c:v>14634.1</c:v>
                </c:pt>
                <c:pt idx="14">
                  <c:v>15192.6</c:v>
                </c:pt>
                <c:pt idx="15">
                  <c:v>14292.5</c:v>
                </c:pt>
                <c:pt idx="16">
                  <c:v>14823.6</c:v>
                </c:pt>
                <c:pt idx="17">
                  <c:v>15409.5</c:v>
                </c:pt>
                <c:pt idx="18">
                  <c:v>14124.1</c:v>
                </c:pt>
                <c:pt idx="19">
                  <c:v>14481.6</c:v>
                </c:pt>
                <c:pt idx="20">
                  <c:v>15275.8</c:v>
                </c:pt>
                <c:pt idx="21">
                  <c:v>15292.8</c:v>
                </c:pt>
                <c:pt idx="22">
                  <c:v>13544.7</c:v>
                </c:pt>
                <c:pt idx="23">
                  <c:v>14436.3</c:v>
                </c:pt>
                <c:pt idx="24">
                  <c:v>13244.9</c:v>
                </c:pt>
                <c:pt idx="25">
                  <c:v>12172.8</c:v>
                </c:pt>
                <c:pt idx="26">
                  <c:v>13634</c:v>
                </c:pt>
                <c:pt idx="27">
                  <c:v>13104.6</c:v>
                </c:pt>
                <c:pt idx="28">
                  <c:v>12754.7</c:v>
                </c:pt>
                <c:pt idx="29">
                  <c:v>13514.1</c:v>
                </c:pt>
                <c:pt idx="30">
                  <c:v>11465.8</c:v>
                </c:pt>
                <c:pt idx="31">
                  <c:v>12726</c:v>
                </c:pt>
                <c:pt idx="32">
                  <c:v>12588.4</c:v>
                </c:pt>
                <c:pt idx="33">
                  <c:v>12121.7</c:v>
                </c:pt>
                <c:pt idx="34">
                  <c:v>11122.2</c:v>
                </c:pt>
                <c:pt idx="35">
                  <c:v>11917.1</c:v>
                </c:pt>
                <c:pt idx="36">
                  <c:v>10581.9</c:v>
                </c:pt>
                <c:pt idx="37">
                  <c:v>11316.7</c:v>
                </c:pt>
                <c:pt idx="38">
                  <c:v>11812.1</c:v>
                </c:pt>
                <c:pt idx="39">
                  <c:v>11689.7</c:v>
                </c:pt>
                <c:pt idx="40">
                  <c:v>11517.4</c:v>
                </c:pt>
                <c:pt idx="41">
                  <c:v>13206.1</c:v>
                </c:pt>
                <c:pt idx="42">
                  <c:v>9649.5</c:v>
                </c:pt>
                <c:pt idx="43">
                  <c:v>12701.7</c:v>
                </c:pt>
                <c:pt idx="44">
                  <c:v>12579.8</c:v>
                </c:pt>
                <c:pt idx="45">
                  <c:v>12743.7</c:v>
                </c:pt>
                <c:pt idx="46">
                  <c:v>13502.9</c:v>
                </c:pt>
                <c:pt idx="47">
                  <c:v>13832.4</c:v>
                </c:pt>
                <c:pt idx="48">
                  <c:v>13397.7</c:v>
                </c:pt>
                <c:pt idx="49">
                  <c:v>12616</c:v>
                </c:pt>
                <c:pt idx="50">
                  <c:v>14718.5</c:v>
                </c:pt>
                <c:pt idx="51">
                  <c:v>13269.7</c:v>
                </c:pt>
                <c:pt idx="52">
                  <c:v>14333.9</c:v>
                </c:pt>
                <c:pt idx="53">
                  <c:v>11661.4</c:v>
                </c:pt>
                <c:pt idx="54">
                  <c:v>13611.1</c:v>
                </c:pt>
                <c:pt idx="55">
                  <c:v>15188</c:v>
                </c:pt>
                <c:pt idx="56">
                  <c:v>14580.2</c:v>
                </c:pt>
                <c:pt idx="57">
                  <c:v>15252.6</c:v>
                </c:pt>
                <c:pt idx="58">
                  <c:v>15334.7</c:v>
                </c:pt>
                <c:pt idx="59">
                  <c:v>14864.5</c:v>
                </c:pt>
                <c:pt idx="60">
                  <c:v>14576.3</c:v>
                </c:pt>
                <c:pt idx="61">
                  <c:v>14132.4</c:v>
                </c:pt>
                <c:pt idx="62">
                  <c:v>15510.6</c:v>
                </c:pt>
                <c:pt idx="63">
                  <c:v>14496.2</c:v>
                </c:pt>
                <c:pt idx="64">
                  <c:v>16198.3</c:v>
                </c:pt>
                <c:pt idx="65">
                  <c:v>12941.7</c:v>
                </c:pt>
                <c:pt idx="66">
                  <c:v>16284.7</c:v>
                </c:pt>
                <c:pt idx="67">
                  <c:v>15865.1</c:v>
                </c:pt>
                <c:pt idx="68">
                  <c:v>14956.3</c:v>
                </c:pt>
                <c:pt idx="69">
                  <c:v>15909.1</c:v>
                </c:pt>
                <c:pt idx="70">
                  <c:v>14851.7</c:v>
                </c:pt>
                <c:pt idx="71">
                  <c:v>14290.1</c:v>
                </c:pt>
                <c:pt idx="72">
                  <c:v>14028.1</c:v>
                </c:pt>
                <c:pt idx="73">
                  <c:v>12788.6</c:v>
                </c:pt>
                <c:pt idx="74">
                  <c:v>14447.8</c:v>
                </c:pt>
                <c:pt idx="75">
                  <c:v>13068.1</c:v>
                </c:pt>
                <c:pt idx="76">
                  <c:v>14751.9</c:v>
                </c:pt>
                <c:pt idx="77">
                  <c:v>11763.4</c:v>
                </c:pt>
                <c:pt idx="78">
                  <c:v>15238.4</c:v>
                </c:pt>
                <c:pt idx="79">
                  <c:v>14262</c:v>
                </c:pt>
                <c:pt idx="80">
                  <c:v>14080.1</c:v>
                </c:pt>
                <c:pt idx="81">
                  <c:v>14881.5</c:v>
                </c:pt>
                <c:pt idx="82">
                  <c:v>13944.5</c:v>
                </c:pt>
                <c:pt idx="83">
                  <c:v>14428.8</c:v>
                </c:pt>
                <c:pt idx="84">
                  <c:v>14028.1</c:v>
                </c:pt>
                <c:pt idx="85">
                  <c:v>12788.6</c:v>
                </c:pt>
                <c:pt idx="86">
                  <c:v>14447.8</c:v>
                </c:pt>
                <c:pt idx="87">
                  <c:v>13068.1</c:v>
                </c:pt>
                <c:pt idx="88">
                  <c:v>14751.9</c:v>
                </c:pt>
                <c:pt idx="89">
                  <c:v>11763.4</c:v>
                </c:pt>
                <c:pt idx="90">
                  <c:v>15238.4</c:v>
                </c:pt>
                <c:pt idx="91">
                  <c:v>14262</c:v>
                </c:pt>
                <c:pt idx="92">
                  <c:v>14080.1</c:v>
                </c:pt>
                <c:pt idx="93">
                  <c:v>14881.5</c:v>
                </c:pt>
                <c:pt idx="94">
                  <c:v>13944.5</c:v>
                </c:pt>
                <c:pt idx="95">
                  <c:v>14428.8</c:v>
                </c:pt>
                <c:pt idx="96">
                  <c:v>13636.4</c:v>
                </c:pt>
                <c:pt idx="97">
                  <c:v>14042.1</c:v>
                </c:pt>
                <c:pt idx="98">
                  <c:v>14031.3</c:v>
                </c:pt>
                <c:pt idx="99">
                  <c:v>12159.8</c:v>
                </c:pt>
                <c:pt idx="100">
                  <c:v>10452.6</c:v>
                </c:pt>
                <c:pt idx="101">
                  <c:v>12006.8</c:v>
                </c:pt>
                <c:pt idx="102">
                  <c:v>13689.9</c:v>
                </c:pt>
                <c:pt idx="103">
                  <c:v>13055.3</c:v>
                </c:pt>
                <c:pt idx="104">
                  <c:v>13956.2</c:v>
                </c:pt>
                <c:pt idx="105">
                  <c:v>14363.4</c:v>
                </c:pt>
                <c:pt idx="106">
                  <c:v>15258.4</c:v>
                </c:pt>
                <c:pt idx="107">
                  <c:v>16539.599999999999</c:v>
                </c:pt>
                <c:pt idx="108">
                  <c:v>15300.2</c:v>
                </c:pt>
                <c:pt idx="109">
                  <c:v>15255.4</c:v>
                </c:pt>
                <c:pt idx="110">
                  <c:v>18398.400000000001</c:v>
                </c:pt>
                <c:pt idx="111">
                  <c:v>18474.099999999999</c:v>
                </c:pt>
                <c:pt idx="112">
                  <c:v>16908</c:v>
                </c:pt>
                <c:pt idx="113">
                  <c:v>18547.8</c:v>
                </c:pt>
                <c:pt idx="114">
                  <c:v>19369.599999999999</c:v>
                </c:pt>
                <c:pt idx="115">
                  <c:v>21443.200000000001</c:v>
                </c:pt>
                <c:pt idx="116">
                  <c:v>20618.8</c:v>
                </c:pt>
                <c:pt idx="117">
                  <c:v>22091</c:v>
                </c:pt>
                <c:pt idx="118">
                  <c:v>22845.4</c:v>
                </c:pt>
                <c:pt idx="119">
                  <c:v>22357.7</c:v>
                </c:pt>
                <c:pt idx="120">
                  <c:v>22320.7</c:v>
                </c:pt>
                <c:pt idx="121">
                  <c:v>21319.7</c:v>
                </c:pt>
                <c:pt idx="122">
                  <c:v>23413.9</c:v>
                </c:pt>
                <c:pt idx="123">
                  <c:v>19280.400000000001</c:v>
                </c:pt>
                <c:pt idx="124">
                  <c:v>21706.5</c:v>
                </c:pt>
                <c:pt idx="125">
                  <c:v>20599</c:v>
                </c:pt>
                <c:pt idx="126">
                  <c:v>20861.3</c:v>
                </c:pt>
                <c:pt idx="127">
                  <c:v>21996.3</c:v>
                </c:pt>
                <c:pt idx="128">
                  <c:v>20744.900000000001</c:v>
                </c:pt>
                <c:pt idx="129">
                  <c:v>22144.5</c:v>
                </c:pt>
                <c:pt idx="130">
                  <c:v>21995.9</c:v>
                </c:pt>
                <c:pt idx="131">
                  <c:v>22391.200000000001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0-4EAA-9954-AF7E40EB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05344"/>
        <c:axId val="123702600"/>
      </c:lineChart>
      <c:dateAx>
        <c:axId val="123705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2600"/>
        <c:crosses val="autoZero"/>
        <c:auto val="1"/>
        <c:lblOffset val="100"/>
        <c:baseTimeUnit val="months"/>
      </c:dateAx>
      <c:valAx>
        <c:axId val="12370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0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Differencing!$E$2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Differencing!$D$3:$D$134</c:f>
              <c:numCache>
                <c:formatCode>mmm\-yy</c:formatCode>
                <c:ptCount val="132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  <c:pt idx="36">
                  <c:v>42401</c:v>
                </c:pt>
                <c:pt idx="37">
                  <c:v>42430</c:v>
                </c:pt>
                <c:pt idx="38">
                  <c:v>42461</c:v>
                </c:pt>
                <c:pt idx="39">
                  <c:v>42491</c:v>
                </c:pt>
                <c:pt idx="40">
                  <c:v>42522</c:v>
                </c:pt>
                <c:pt idx="41">
                  <c:v>42552</c:v>
                </c:pt>
                <c:pt idx="42">
                  <c:v>42583</c:v>
                </c:pt>
                <c:pt idx="43">
                  <c:v>42614</c:v>
                </c:pt>
                <c:pt idx="44">
                  <c:v>42644</c:v>
                </c:pt>
                <c:pt idx="45">
                  <c:v>42675</c:v>
                </c:pt>
                <c:pt idx="46">
                  <c:v>42705</c:v>
                </c:pt>
                <c:pt idx="47">
                  <c:v>42736</c:v>
                </c:pt>
                <c:pt idx="48">
                  <c:v>42767</c:v>
                </c:pt>
                <c:pt idx="49">
                  <c:v>42795</c:v>
                </c:pt>
                <c:pt idx="50">
                  <c:v>42826</c:v>
                </c:pt>
                <c:pt idx="51">
                  <c:v>42856</c:v>
                </c:pt>
                <c:pt idx="52">
                  <c:v>42887</c:v>
                </c:pt>
                <c:pt idx="53">
                  <c:v>42917</c:v>
                </c:pt>
                <c:pt idx="54">
                  <c:v>42948</c:v>
                </c:pt>
                <c:pt idx="55">
                  <c:v>42979</c:v>
                </c:pt>
                <c:pt idx="56">
                  <c:v>43009</c:v>
                </c:pt>
                <c:pt idx="57">
                  <c:v>43040</c:v>
                </c:pt>
                <c:pt idx="58">
                  <c:v>43070</c:v>
                </c:pt>
                <c:pt idx="59">
                  <c:v>43101</c:v>
                </c:pt>
                <c:pt idx="60">
                  <c:v>43132</c:v>
                </c:pt>
                <c:pt idx="61">
                  <c:v>43160</c:v>
                </c:pt>
                <c:pt idx="62">
                  <c:v>43191</c:v>
                </c:pt>
                <c:pt idx="63">
                  <c:v>43221</c:v>
                </c:pt>
                <c:pt idx="64">
                  <c:v>43252</c:v>
                </c:pt>
                <c:pt idx="65">
                  <c:v>43282</c:v>
                </c:pt>
                <c:pt idx="66">
                  <c:v>43313</c:v>
                </c:pt>
                <c:pt idx="67">
                  <c:v>43344</c:v>
                </c:pt>
                <c:pt idx="68">
                  <c:v>43374</c:v>
                </c:pt>
                <c:pt idx="69">
                  <c:v>43405</c:v>
                </c:pt>
                <c:pt idx="70">
                  <c:v>43435</c:v>
                </c:pt>
                <c:pt idx="71">
                  <c:v>43466</c:v>
                </c:pt>
                <c:pt idx="72">
                  <c:v>43497</c:v>
                </c:pt>
                <c:pt idx="73">
                  <c:v>43525</c:v>
                </c:pt>
                <c:pt idx="74">
                  <c:v>43556</c:v>
                </c:pt>
                <c:pt idx="75">
                  <c:v>43586</c:v>
                </c:pt>
                <c:pt idx="76">
                  <c:v>43617</c:v>
                </c:pt>
                <c:pt idx="77">
                  <c:v>43647</c:v>
                </c:pt>
                <c:pt idx="78">
                  <c:v>43678</c:v>
                </c:pt>
                <c:pt idx="79">
                  <c:v>43709</c:v>
                </c:pt>
                <c:pt idx="80">
                  <c:v>43739</c:v>
                </c:pt>
                <c:pt idx="81">
                  <c:v>43770</c:v>
                </c:pt>
                <c:pt idx="82">
                  <c:v>43800</c:v>
                </c:pt>
                <c:pt idx="83">
                  <c:v>43831</c:v>
                </c:pt>
                <c:pt idx="84">
                  <c:v>43862</c:v>
                </c:pt>
                <c:pt idx="85">
                  <c:v>43891</c:v>
                </c:pt>
                <c:pt idx="86">
                  <c:v>43922</c:v>
                </c:pt>
                <c:pt idx="87">
                  <c:v>43952</c:v>
                </c:pt>
                <c:pt idx="88">
                  <c:v>43983</c:v>
                </c:pt>
                <c:pt idx="89">
                  <c:v>44013</c:v>
                </c:pt>
                <c:pt idx="90">
                  <c:v>44044</c:v>
                </c:pt>
                <c:pt idx="91">
                  <c:v>44075</c:v>
                </c:pt>
                <c:pt idx="92">
                  <c:v>44105</c:v>
                </c:pt>
                <c:pt idx="93">
                  <c:v>44136</c:v>
                </c:pt>
                <c:pt idx="94">
                  <c:v>44166</c:v>
                </c:pt>
                <c:pt idx="95">
                  <c:v>44197</c:v>
                </c:pt>
                <c:pt idx="96">
                  <c:v>44228</c:v>
                </c:pt>
                <c:pt idx="97">
                  <c:v>44256</c:v>
                </c:pt>
                <c:pt idx="98">
                  <c:v>44287</c:v>
                </c:pt>
                <c:pt idx="99">
                  <c:v>44317</c:v>
                </c:pt>
                <c:pt idx="100">
                  <c:v>44348</c:v>
                </c:pt>
                <c:pt idx="101">
                  <c:v>44378</c:v>
                </c:pt>
                <c:pt idx="102">
                  <c:v>44409</c:v>
                </c:pt>
                <c:pt idx="103">
                  <c:v>44440</c:v>
                </c:pt>
                <c:pt idx="104">
                  <c:v>44470</c:v>
                </c:pt>
                <c:pt idx="105">
                  <c:v>44501</c:v>
                </c:pt>
                <c:pt idx="106">
                  <c:v>44531</c:v>
                </c:pt>
                <c:pt idx="107">
                  <c:v>44562</c:v>
                </c:pt>
                <c:pt idx="108">
                  <c:v>44593</c:v>
                </c:pt>
                <c:pt idx="109">
                  <c:v>44621</c:v>
                </c:pt>
                <c:pt idx="110">
                  <c:v>44652</c:v>
                </c:pt>
                <c:pt idx="111">
                  <c:v>44682</c:v>
                </c:pt>
                <c:pt idx="112">
                  <c:v>44713</c:v>
                </c:pt>
                <c:pt idx="113">
                  <c:v>44743</c:v>
                </c:pt>
                <c:pt idx="114">
                  <c:v>44774</c:v>
                </c:pt>
                <c:pt idx="115">
                  <c:v>44805</c:v>
                </c:pt>
                <c:pt idx="116">
                  <c:v>44835</c:v>
                </c:pt>
                <c:pt idx="117">
                  <c:v>44866</c:v>
                </c:pt>
                <c:pt idx="118">
                  <c:v>44896</c:v>
                </c:pt>
                <c:pt idx="119">
                  <c:v>44927</c:v>
                </c:pt>
                <c:pt idx="120">
                  <c:v>44958</c:v>
                </c:pt>
                <c:pt idx="121">
                  <c:v>44986</c:v>
                </c:pt>
                <c:pt idx="122">
                  <c:v>45017</c:v>
                </c:pt>
                <c:pt idx="123">
                  <c:v>45047</c:v>
                </c:pt>
                <c:pt idx="124">
                  <c:v>45078</c:v>
                </c:pt>
                <c:pt idx="125">
                  <c:v>45108</c:v>
                </c:pt>
                <c:pt idx="126">
                  <c:v>45139</c:v>
                </c:pt>
                <c:pt idx="127">
                  <c:v>45170</c:v>
                </c:pt>
                <c:pt idx="128">
                  <c:v>45200</c:v>
                </c:pt>
                <c:pt idx="129">
                  <c:v>45231</c:v>
                </c:pt>
                <c:pt idx="130">
                  <c:v>45261</c:v>
                </c:pt>
                <c:pt idx="131">
                  <c:v>45261</c:v>
                </c:pt>
              </c:numCache>
            </c:numRef>
          </c:cat>
          <c:val>
            <c:numRef>
              <c:f>Differencing!$E$3:$E$134</c:f>
              <c:numCache>
                <c:formatCode>General</c:formatCode>
                <c:ptCount val="132"/>
                <c:pt idx="0">
                  <c:v>-359.89999999999964</c:v>
                </c:pt>
                <c:pt idx="1">
                  <c:v>9</c:v>
                </c:pt>
                <c:pt idx="2">
                  <c:v>-263.70000000000073</c:v>
                </c:pt>
                <c:pt idx="3">
                  <c:v>1372.5</c:v>
                </c:pt>
                <c:pt idx="4">
                  <c:v>-1374.6000000000004</c:v>
                </c:pt>
                <c:pt idx="5">
                  <c:v>329.10000000000036</c:v>
                </c:pt>
                <c:pt idx="6">
                  <c:v>-2004.1999999999989</c:v>
                </c:pt>
                <c:pt idx="7">
                  <c:v>1623.0999999999985</c:v>
                </c:pt>
                <c:pt idx="8">
                  <c:v>991.5</c:v>
                </c:pt>
                <c:pt idx="9">
                  <c:v>240.30000000000109</c:v>
                </c:pt>
                <c:pt idx="10">
                  <c:v>1029.1999999999989</c:v>
                </c:pt>
                <c:pt idx="11">
                  <c:v>-2495.5</c:v>
                </c:pt>
                <c:pt idx="12">
                  <c:v>161.80000000000109</c:v>
                </c:pt>
                <c:pt idx="13">
                  <c:v>558.5</c:v>
                </c:pt>
                <c:pt idx="14">
                  <c:v>-900.10000000000036</c:v>
                </c:pt>
                <c:pt idx="15">
                  <c:v>531.10000000000036</c:v>
                </c:pt>
                <c:pt idx="16">
                  <c:v>585.89999999999964</c:v>
                </c:pt>
                <c:pt idx="17">
                  <c:v>-1285.3999999999996</c:v>
                </c:pt>
                <c:pt idx="18">
                  <c:v>357.5</c:v>
                </c:pt>
                <c:pt idx="19">
                  <c:v>794.19999999999891</c:v>
                </c:pt>
                <c:pt idx="20">
                  <c:v>17</c:v>
                </c:pt>
                <c:pt idx="21">
                  <c:v>-1748.0999999999985</c:v>
                </c:pt>
                <c:pt idx="22">
                  <c:v>891.59999999999854</c:v>
                </c:pt>
                <c:pt idx="23">
                  <c:v>-1191.3999999999996</c:v>
                </c:pt>
                <c:pt idx="24">
                  <c:v>-1072.1000000000004</c:v>
                </c:pt>
                <c:pt idx="25">
                  <c:v>1461.2000000000007</c:v>
                </c:pt>
                <c:pt idx="26">
                  <c:v>-529.39999999999964</c:v>
                </c:pt>
                <c:pt idx="27">
                  <c:v>-349.89999999999964</c:v>
                </c:pt>
                <c:pt idx="28">
                  <c:v>759.39999999999964</c:v>
                </c:pt>
                <c:pt idx="29">
                  <c:v>-2048.3000000000011</c:v>
                </c:pt>
                <c:pt idx="30">
                  <c:v>1260.2000000000007</c:v>
                </c:pt>
                <c:pt idx="31">
                  <c:v>-137.60000000000036</c:v>
                </c:pt>
                <c:pt idx="32">
                  <c:v>-466.69999999999891</c:v>
                </c:pt>
                <c:pt idx="33">
                  <c:v>-999.5</c:v>
                </c:pt>
                <c:pt idx="34">
                  <c:v>794.89999999999964</c:v>
                </c:pt>
                <c:pt idx="35">
                  <c:v>-1335.2000000000007</c:v>
                </c:pt>
                <c:pt idx="36">
                  <c:v>734.80000000000109</c:v>
                </c:pt>
                <c:pt idx="37">
                  <c:v>495.39999999999964</c:v>
                </c:pt>
                <c:pt idx="38">
                  <c:v>-122.39999999999964</c:v>
                </c:pt>
                <c:pt idx="39">
                  <c:v>-172.30000000000109</c:v>
                </c:pt>
                <c:pt idx="40">
                  <c:v>1688.7000000000007</c:v>
                </c:pt>
                <c:pt idx="41">
                  <c:v>-3556.6000000000004</c:v>
                </c:pt>
                <c:pt idx="42">
                  <c:v>3052.2000000000007</c:v>
                </c:pt>
                <c:pt idx="43">
                  <c:v>-121.90000000000146</c:v>
                </c:pt>
                <c:pt idx="44">
                  <c:v>163.90000000000146</c:v>
                </c:pt>
                <c:pt idx="45">
                  <c:v>759.19999999999891</c:v>
                </c:pt>
                <c:pt idx="46">
                  <c:v>329.5</c:v>
                </c:pt>
                <c:pt idx="47">
                  <c:v>-434.69999999999891</c:v>
                </c:pt>
                <c:pt idx="48">
                  <c:v>-781.70000000000073</c:v>
                </c:pt>
                <c:pt idx="49">
                  <c:v>2102.5</c:v>
                </c:pt>
                <c:pt idx="50">
                  <c:v>-1448.7999999999993</c:v>
                </c:pt>
                <c:pt idx="51">
                  <c:v>1064.1999999999989</c:v>
                </c:pt>
                <c:pt idx="52">
                  <c:v>-2672.5</c:v>
                </c:pt>
                <c:pt idx="53">
                  <c:v>1949.7000000000007</c:v>
                </c:pt>
                <c:pt idx="54">
                  <c:v>1576.8999999999996</c:v>
                </c:pt>
                <c:pt idx="55">
                  <c:v>-607.79999999999927</c:v>
                </c:pt>
                <c:pt idx="56">
                  <c:v>672.39999999999964</c:v>
                </c:pt>
                <c:pt idx="57">
                  <c:v>82.100000000000364</c:v>
                </c:pt>
                <c:pt idx="58">
                  <c:v>-470.20000000000073</c:v>
                </c:pt>
                <c:pt idx="59">
                  <c:v>-288.20000000000073</c:v>
                </c:pt>
                <c:pt idx="60">
                  <c:v>-443.89999999999964</c:v>
                </c:pt>
                <c:pt idx="61">
                  <c:v>1378.2000000000007</c:v>
                </c:pt>
                <c:pt idx="62">
                  <c:v>-1014.3999999999996</c:v>
                </c:pt>
                <c:pt idx="63">
                  <c:v>1702.0999999999985</c:v>
                </c:pt>
                <c:pt idx="64">
                  <c:v>-3256.5999999999985</c:v>
                </c:pt>
                <c:pt idx="65">
                  <c:v>3343</c:v>
                </c:pt>
                <c:pt idx="66">
                  <c:v>-419.60000000000036</c:v>
                </c:pt>
                <c:pt idx="67">
                  <c:v>-908.80000000000109</c:v>
                </c:pt>
                <c:pt idx="68">
                  <c:v>952.80000000000109</c:v>
                </c:pt>
                <c:pt idx="69">
                  <c:v>-1057.3999999999996</c:v>
                </c:pt>
                <c:pt idx="70">
                  <c:v>-561.60000000000036</c:v>
                </c:pt>
                <c:pt idx="71">
                  <c:v>-262</c:v>
                </c:pt>
                <c:pt idx="72">
                  <c:v>-1239.5</c:v>
                </c:pt>
                <c:pt idx="73">
                  <c:v>1659.1999999999989</c:v>
                </c:pt>
                <c:pt idx="74">
                  <c:v>-1379.6999999999989</c:v>
                </c:pt>
                <c:pt idx="75">
                  <c:v>1683.7999999999993</c:v>
                </c:pt>
                <c:pt idx="76">
                  <c:v>-2988.5</c:v>
                </c:pt>
                <c:pt idx="77">
                  <c:v>3475</c:v>
                </c:pt>
                <c:pt idx="78">
                  <c:v>-976.39999999999964</c:v>
                </c:pt>
                <c:pt idx="79">
                  <c:v>-181.89999999999964</c:v>
                </c:pt>
                <c:pt idx="80">
                  <c:v>801.39999999999964</c:v>
                </c:pt>
                <c:pt idx="81">
                  <c:v>-937</c:v>
                </c:pt>
                <c:pt idx="82">
                  <c:v>484.29999999999927</c:v>
                </c:pt>
                <c:pt idx="83">
                  <c:v>-400.69999999999891</c:v>
                </c:pt>
                <c:pt idx="84">
                  <c:v>-1239.5</c:v>
                </c:pt>
                <c:pt idx="85">
                  <c:v>1659.1999999999989</c:v>
                </c:pt>
                <c:pt idx="86">
                  <c:v>-1379.6999999999989</c:v>
                </c:pt>
                <c:pt idx="87">
                  <c:v>1683.7999999999993</c:v>
                </c:pt>
                <c:pt idx="88">
                  <c:v>-2988.5</c:v>
                </c:pt>
                <c:pt idx="89">
                  <c:v>3475</c:v>
                </c:pt>
                <c:pt idx="90">
                  <c:v>-976.39999999999964</c:v>
                </c:pt>
                <c:pt idx="91">
                  <c:v>-181.89999999999964</c:v>
                </c:pt>
                <c:pt idx="92">
                  <c:v>801.39999999999964</c:v>
                </c:pt>
                <c:pt idx="93">
                  <c:v>-937</c:v>
                </c:pt>
                <c:pt idx="94">
                  <c:v>484.29999999999927</c:v>
                </c:pt>
                <c:pt idx="95">
                  <c:v>-792.39999999999964</c:v>
                </c:pt>
                <c:pt idx="96">
                  <c:v>405.70000000000073</c:v>
                </c:pt>
                <c:pt idx="97">
                  <c:v>-10.800000000001091</c:v>
                </c:pt>
                <c:pt idx="98">
                  <c:v>-1871.5</c:v>
                </c:pt>
                <c:pt idx="99">
                  <c:v>-1707.1999999999989</c:v>
                </c:pt>
                <c:pt idx="100">
                  <c:v>1554.1999999999989</c:v>
                </c:pt>
                <c:pt idx="101">
                  <c:v>1683.1000000000004</c:v>
                </c:pt>
                <c:pt idx="102">
                  <c:v>-634.60000000000036</c:v>
                </c:pt>
                <c:pt idx="103">
                  <c:v>900.90000000000146</c:v>
                </c:pt>
                <c:pt idx="104">
                  <c:v>407.19999999999891</c:v>
                </c:pt>
                <c:pt idx="105">
                  <c:v>895</c:v>
                </c:pt>
                <c:pt idx="106">
                  <c:v>1281.1999999999989</c:v>
                </c:pt>
                <c:pt idx="107">
                  <c:v>-1239.3999999999978</c:v>
                </c:pt>
                <c:pt idx="108">
                  <c:v>-44.800000000001091</c:v>
                </c:pt>
                <c:pt idx="109">
                  <c:v>3143.0000000000018</c:v>
                </c:pt>
                <c:pt idx="110">
                  <c:v>75.69999999999709</c:v>
                </c:pt>
                <c:pt idx="111">
                  <c:v>-1566.0999999999985</c:v>
                </c:pt>
                <c:pt idx="112">
                  <c:v>1639.7999999999993</c:v>
                </c:pt>
                <c:pt idx="113">
                  <c:v>821.79999999999927</c:v>
                </c:pt>
                <c:pt idx="114">
                  <c:v>2073.6000000000022</c:v>
                </c:pt>
                <c:pt idx="115">
                  <c:v>-824.40000000000146</c:v>
                </c:pt>
                <c:pt idx="116">
                  <c:v>1472.2000000000007</c:v>
                </c:pt>
                <c:pt idx="117">
                  <c:v>754.40000000000146</c:v>
                </c:pt>
                <c:pt idx="118">
                  <c:v>-487.70000000000073</c:v>
                </c:pt>
                <c:pt idx="119">
                  <c:v>-37</c:v>
                </c:pt>
                <c:pt idx="120">
                  <c:v>-1001</c:v>
                </c:pt>
                <c:pt idx="121">
                  <c:v>2094.2000000000007</c:v>
                </c:pt>
                <c:pt idx="122">
                  <c:v>-4133.5</c:v>
                </c:pt>
                <c:pt idx="123">
                  <c:v>2426.0999999999985</c:v>
                </c:pt>
                <c:pt idx="124">
                  <c:v>-1107.5</c:v>
                </c:pt>
                <c:pt idx="125">
                  <c:v>262.29999999999927</c:v>
                </c:pt>
                <c:pt idx="126">
                  <c:v>1135</c:v>
                </c:pt>
                <c:pt idx="127">
                  <c:v>-1251.3999999999978</c:v>
                </c:pt>
                <c:pt idx="128">
                  <c:v>1399.5999999999985</c:v>
                </c:pt>
                <c:pt idx="129">
                  <c:v>-148.59999999999854</c:v>
                </c:pt>
                <c:pt idx="130">
                  <c:v>395.29999999999927</c:v>
                </c:pt>
                <c:pt idx="1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1-4277-9EC8-BB70EE8EE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531744"/>
        <c:axId val="333535664"/>
      </c:lineChart>
      <c:dateAx>
        <c:axId val="333531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35664"/>
        <c:crosses val="autoZero"/>
        <c:auto val="1"/>
        <c:lblOffset val="100"/>
        <c:baseTimeUnit val="days"/>
      </c:dateAx>
      <c:valAx>
        <c:axId val="3335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3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242887</xdr:colOff>
      <xdr:row>117</xdr:row>
      <xdr:rowOff>57150</xdr:rowOff>
    </xdr:from>
    <xdr:to>
      <xdr:col>3</xdr:col>
      <xdr:colOff>457200</xdr:colOff>
      <xdr:row>131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242887</xdr:colOff>
      <xdr:row>116</xdr:row>
      <xdr:rowOff>171450</xdr:rowOff>
    </xdr:from>
    <xdr:to>
      <xdr:col>8</xdr:col>
      <xdr:colOff>547687</xdr:colOff>
      <xdr:row>131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314325</xdr:colOff>
      <xdr:row>2</xdr:row>
      <xdr:rowOff>34120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0"/>
          <a:ext cx="2028825" cy="41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opLeftCell="A114" workbookViewId="0">
      <selection activeCell="A121" sqref="A121:B133"/>
    </sheetView>
  </sheetViews>
  <sheetFormatPr defaultRowHeight="15" x14ac:dyDescent="0.25"/>
  <cols>
    <col min="10" max="10" width="11" bestFit="1" customWidth="1"/>
    <col min="11" max="12" width="12" bestFit="1" customWidth="1"/>
    <col min="15" max="15" width="12" bestFit="1" customWidth="1"/>
    <col min="16" max="16" width="11" bestFit="1" customWidth="1"/>
  </cols>
  <sheetData>
    <row r="1" spans="1:18" x14ac:dyDescent="0.25">
      <c r="A1" t="s">
        <v>0</v>
      </c>
      <c r="B1" t="s">
        <v>1</v>
      </c>
      <c r="D1" t="s">
        <v>5</v>
      </c>
      <c r="E1">
        <f>SUM(B2:B133)</f>
        <v>1991814.8999999992</v>
      </c>
    </row>
    <row r="2" spans="1:18" x14ac:dyDescent="0.25">
      <c r="A2" s="1">
        <v>41275</v>
      </c>
      <c r="B2">
        <v>15375.5</v>
      </c>
      <c r="D2" t="s">
        <v>4</v>
      </c>
      <c r="E2" t="s">
        <v>2</v>
      </c>
      <c r="F2" t="s">
        <v>3</v>
      </c>
      <c r="H2" t="s">
        <v>6</v>
      </c>
      <c r="I2" t="s">
        <v>7</v>
      </c>
      <c r="K2" t="s">
        <v>9</v>
      </c>
      <c r="L2" t="s">
        <v>10</v>
      </c>
      <c r="O2">
        <f>(1/D3)*(L135)</f>
        <v>306181281191262.44</v>
      </c>
      <c r="Q2" t="s">
        <v>12</v>
      </c>
    </row>
    <row r="3" spans="1:18" x14ac:dyDescent="0.25">
      <c r="A3" s="1">
        <v>41306</v>
      </c>
      <c r="B3">
        <v>15015.6</v>
      </c>
      <c r="D3">
        <v>132</v>
      </c>
      <c r="E3">
        <f>E1/D3</f>
        <v>15089.506818181811</v>
      </c>
      <c r="F3">
        <f>SQRT(J135/D3)</f>
        <v>2982.2878553724486</v>
      </c>
      <c r="H3">
        <f>B2-$E$3</f>
        <v>285.99318181818853</v>
      </c>
      <c r="I3">
        <f>H3^2</f>
        <v>81792.10004649144</v>
      </c>
      <c r="K3">
        <f>H3^3</f>
        <v>23391982.939887691</v>
      </c>
      <c r="L3">
        <f>H3^4</f>
        <v>6689947630.0152645</v>
      </c>
      <c r="Q3">
        <f>O2/P4</f>
        <v>3.870618750422222</v>
      </c>
      <c r="R3">
        <f>Q3-3</f>
        <v>0.87061875042222203</v>
      </c>
    </row>
    <row r="4" spans="1:18" x14ac:dyDescent="0.25">
      <c r="A4" s="1">
        <v>41334</v>
      </c>
      <c r="B4">
        <v>15024.6</v>
      </c>
      <c r="H4">
        <f t="shared" ref="H4:H67" si="0">B3-$E$3</f>
        <v>-73.906818181811104</v>
      </c>
      <c r="I4">
        <f t="shared" ref="I4:I67" si="1">H4^2</f>
        <v>5462.2177737592847</v>
      </c>
      <c r="K4">
        <f t="shared" ref="K4:K67" si="2">H4^3</f>
        <v>-403695.13587468449</v>
      </c>
      <c r="L4">
        <f t="shared" ref="L4:L67" si="3">H4^4</f>
        <v>29835823.007971834</v>
      </c>
      <c r="O4">
        <f>(1/D3)*(J135)</f>
        <v>8894040.8523019981</v>
      </c>
      <c r="P4">
        <f>O4^2</f>
        <v>79103962682416.859</v>
      </c>
    </row>
    <row r="5" spans="1:18" x14ac:dyDescent="0.25">
      <c r="A5" s="1">
        <v>41365</v>
      </c>
      <c r="B5">
        <v>14760.9</v>
      </c>
      <c r="D5" t="s">
        <v>11</v>
      </c>
      <c r="F5" t="s">
        <v>12</v>
      </c>
      <c r="H5">
        <f t="shared" si="0"/>
        <v>-64.906818181811104</v>
      </c>
      <c r="I5">
        <f t="shared" si="1"/>
        <v>4212.8950464866848</v>
      </c>
      <c r="K5">
        <f t="shared" si="2"/>
        <v>-273445.61280136387</v>
      </c>
      <c r="L5">
        <f t="shared" si="3"/>
        <v>17748484.672712047</v>
      </c>
    </row>
    <row r="6" spans="1:18" x14ac:dyDescent="0.25">
      <c r="A6" s="1">
        <v>41395</v>
      </c>
      <c r="B6">
        <v>16133.4</v>
      </c>
      <c r="D6">
        <f>K136/(F3^3)</f>
        <v>1.201332272711527</v>
      </c>
      <c r="F6">
        <f>L136/(F3^4)</f>
        <v>3.870618750422222</v>
      </c>
      <c r="H6">
        <f t="shared" si="0"/>
        <v>-328.60681818181183</v>
      </c>
      <c r="I6">
        <f t="shared" si="1"/>
        <v>107982.44095557433</v>
      </c>
      <c r="K6">
        <f t="shared" si="2"/>
        <v>-35483766.341916643</v>
      </c>
      <c r="L6">
        <f t="shared" si="3"/>
        <v>11660207554.724096</v>
      </c>
    </row>
    <row r="7" spans="1:18" x14ac:dyDescent="0.25">
      <c r="A7" s="1">
        <v>41426</v>
      </c>
      <c r="B7">
        <v>14758.8</v>
      </c>
      <c r="D7" s="2"/>
      <c r="H7">
        <f t="shared" si="0"/>
        <v>1043.8931818181882</v>
      </c>
      <c r="I7">
        <f t="shared" si="1"/>
        <v>1089712.9750465008</v>
      </c>
      <c r="K7">
        <f t="shared" si="2"/>
        <v>1137543944.7898557</v>
      </c>
      <c r="L7">
        <f t="shared" si="3"/>
        <v>1187474367984.6956</v>
      </c>
    </row>
    <row r="8" spans="1:18" x14ac:dyDescent="0.25">
      <c r="A8" s="1">
        <v>41456</v>
      </c>
      <c r="B8">
        <v>15087.9</v>
      </c>
      <c r="H8">
        <f t="shared" si="0"/>
        <v>-330.7068181818122</v>
      </c>
      <c r="I8">
        <f t="shared" si="1"/>
        <v>109366.99959193819</v>
      </c>
      <c r="K8">
        <f t="shared" si="2"/>
        <v>-36168412.449141435</v>
      </c>
      <c r="L8">
        <f t="shared" si="3"/>
        <v>11961140599.743008</v>
      </c>
    </row>
    <row r="9" spans="1:18" x14ac:dyDescent="0.25">
      <c r="A9" s="1">
        <v>41487</v>
      </c>
      <c r="B9">
        <v>13083.7</v>
      </c>
      <c r="H9">
        <f t="shared" si="0"/>
        <v>-1.6068181818118319</v>
      </c>
      <c r="I9">
        <f t="shared" si="1"/>
        <v>2.5818646694010812</v>
      </c>
      <c r="K9">
        <f t="shared" si="2"/>
        <v>-4.1485870937712521</v>
      </c>
      <c r="L9">
        <f t="shared" si="3"/>
        <v>6.6660251711015546</v>
      </c>
    </row>
    <row r="10" spans="1:18" x14ac:dyDescent="0.25">
      <c r="A10" s="1">
        <v>41518</v>
      </c>
      <c r="B10">
        <v>14706.8</v>
      </c>
      <c r="H10">
        <f t="shared" si="0"/>
        <v>-2005.8068181818107</v>
      </c>
      <c r="I10">
        <f t="shared" si="1"/>
        <v>4023260.9918646398</v>
      </c>
      <c r="K10">
        <f t="shared" si="2"/>
        <v>-8069884328.8070087</v>
      </c>
      <c r="L10">
        <f t="shared" si="3"/>
        <v>16186629008659.645</v>
      </c>
    </row>
    <row r="11" spans="1:18" x14ac:dyDescent="0.25">
      <c r="A11" s="1">
        <v>41548</v>
      </c>
      <c r="B11">
        <v>15698.3</v>
      </c>
      <c r="H11">
        <f t="shared" si="0"/>
        <v>-382.7068181818122</v>
      </c>
      <c r="I11">
        <f t="shared" si="1"/>
        <v>146464.50868284664</v>
      </c>
      <c r="K11">
        <f t="shared" si="2"/>
        <v>-56052966.094574645</v>
      </c>
      <c r="L11">
        <f t="shared" si="3"/>
        <v>21451852303.707661</v>
      </c>
    </row>
    <row r="12" spans="1:18" x14ac:dyDescent="0.25">
      <c r="A12" s="1">
        <v>41579</v>
      </c>
      <c r="B12">
        <v>15938.6</v>
      </c>
      <c r="H12">
        <f t="shared" si="0"/>
        <v>608.7931818181878</v>
      </c>
      <c r="I12">
        <f t="shared" si="1"/>
        <v>370629.13822831307</v>
      </c>
      <c r="K12">
        <f t="shared" si="2"/>
        <v>225636492.33654764</v>
      </c>
      <c r="L12">
        <f t="shared" si="3"/>
        <v>137365958103.862</v>
      </c>
    </row>
    <row r="13" spans="1:18" x14ac:dyDescent="0.25">
      <c r="A13" s="1">
        <v>41609</v>
      </c>
      <c r="B13">
        <v>16967.8</v>
      </c>
      <c r="H13">
        <f t="shared" si="0"/>
        <v>849.0931818181889</v>
      </c>
      <c r="I13">
        <f t="shared" si="1"/>
        <v>720959.23141013598</v>
      </c>
      <c r="K13">
        <f t="shared" si="2"/>
        <v>612161567.75922835</v>
      </c>
      <c r="L13">
        <f t="shared" si="3"/>
        <v>519782213355.49402</v>
      </c>
    </row>
    <row r="14" spans="1:18" x14ac:dyDescent="0.25">
      <c r="A14" s="1">
        <v>41640</v>
      </c>
      <c r="B14">
        <v>14472.3</v>
      </c>
      <c r="H14">
        <f t="shared" si="0"/>
        <v>1878.2931818181878</v>
      </c>
      <c r="I14">
        <f t="shared" si="1"/>
        <v>3527985.2768646921</v>
      </c>
      <c r="K14">
        <f t="shared" si="2"/>
        <v>6626590691.0899029</v>
      </c>
      <c r="L14">
        <f t="shared" si="3"/>
        <v>12446680113774.039</v>
      </c>
    </row>
    <row r="15" spans="1:18" x14ac:dyDescent="0.25">
      <c r="A15" s="1">
        <v>41671</v>
      </c>
      <c r="B15">
        <v>14634.1</v>
      </c>
      <c r="H15">
        <f t="shared" si="0"/>
        <v>-617.2068181818122</v>
      </c>
      <c r="I15">
        <f t="shared" si="1"/>
        <v>380944.25641011656</v>
      </c>
      <c r="K15">
        <f t="shared" si="2"/>
        <v>-235121392.40352446</v>
      </c>
      <c r="L15">
        <f t="shared" si="3"/>
        <v>145118526491.85663</v>
      </c>
    </row>
    <row r="16" spans="1:18" x14ac:dyDescent="0.25">
      <c r="A16" s="1">
        <v>41699</v>
      </c>
      <c r="B16">
        <v>15192.6</v>
      </c>
      <c r="H16">
        <f t="shared" si="0"/>
        <v>-455.4068181818111</v>
      </c>
      <c r="I16">
        <f t="shared" si="1"/>
        <v>207395.37004648117</v>
      </c>
      <c r="K16">
        <f t="shared" si="2"/>
        <v>-94449265.578507289</v>
      </c>
      <c r="L16">
        <f t="shared" si="3"/>
        <v>43012839516.716858</v>
      </c>
    </row>
    <row r="17" spans="1:12" x14ac:dyDescent="0.25">
      <c r="A17" s="1">
        <v>41730</v>
      </c>
      <c r="B17">
        <v>14292.5</v>
      </c>
      <c r="H17">
        <f t="shared" si="0"/>
        <v>103.0931818181889</v>
      </c>
      <c r="I17">
        <f t="shared" si="1"/>
        <v>10628.204137398154</v>
      </c>
      <c r="K17">
        <f t="shared" si="2"/>
        <v>1095695.3815376153</v>
      </c>
      <c r="L17">
        <f t="shared" si="3"/>
        <v>112958723.18620723</v>
      </c>
    </row>
    <row r="18" spans="1:12" x14ac:dyDescent="0.25">
      <c r="A18" s="1">
        <v>41760</v>
      </c>
      <c r="B18">
        <v>14823.6</v>
      </c>
      <c r="H18">
        <f t="shared" si="0"/>
        <v>-797.00681818181147</v>
      </c>
      <c r="I18">
        <f t="shared" si="1"/>
        <v>635219.86822829512</v>
      </c>
      <c r="K18">
        <f t="shared" si="2"/>
        <v>-506274566.02250302</v>
      </c>
      <c r="L18">
        <f t="shared" si="3"/>
        <v>403504280991.9726</v>
      </c>
    </row>
    <row r="19" spans="1:12" x14ac:dyDescent="0.25">
      <c r="A19" s="1">
        <v>41791</v>
      </c>
      <c r="B19">
        <v>15409.5</v>
      </c>
      <c r="H19">
        <f t="shared" si="0"/>
        <v>-265.9068181818111</v>
      </c>
      <c r="I19">
        <f t="shared" si="1"/>
        <v>70706.435955574751</v>
      </c>
      <c r="K19">
        <f t="shared" si="2"/>
        <v>-18801323.409922887</v>
      </c>
      <c r="L19">
        <f t="shared" si="3"/>
        <v>4999400085.539794</v>
      </c>
    </row>
    <row r="20" spans="1:12" x14ac:dyDescent="0.25">
      <c r="A20" s="1">
        <v>41821</v>
      </c>
      <c r="B20">
        <v>14124.1</v>
      </c>
      <c r="H20">
        <f t="shared" si="0"/>
        <v>319.99318181818853</v>
      </c>
      <c r="I20">
        <f t="shared" si="1"/>
        <v>102395.63641012827</v>
      </c>
      <c r="K20">
        <f t="shared" si="2"/>
        <v>32765905.499175299</v>
      </c>
      <c r="L20">
        <f t="shared" si="3"/>
        <v>10484866355.835186</v>
      </c>
    </row>
    <row r="21" spans="1:12" x14ac:dyDescent="0.25">
      <c r="A21" s="1">
        <v>41852</v>
      </c>
      <c r="B21">
        <v>14481.6</v>
      </c>
      <c r="H21">
        <f t="shared" si="0"/>
        <v>-965.4068181818111</v>
      </c>
      <c r="I21">
        <f t="shared" si="1"/>
        <v>932010.32459192851</v>
      </c>
      <c r="K21">
        <f t="shared" si="2"/>
        <v>-899769121.97689068</v>
      </c>
      <c r="L21">
        <f t="shared" si="3"/>
        <v>868643245145.9519</v>
      </c>
    </row>
    <row r="22" spans="1:12" x14ac:dyDescent="0.25">
      <c r="A22" s="1">
        <v>41883</v>
      </c>
      <c r="B22">
        <v>15275.8</v>
      </c>
      <c r="H22">
        <f t="shared" si="0"/>
        <v>-607.9068181818111</v>
      </c>
      <c r="I22">
        <f t="shared" si="1"/>
        <v>369550.69959193352</v>
      </c>
      <c r="K22">
        <f t="shared" si="2"/>
        <v>-224652389.94579461</v>
      </c>
      <c r="L22">
        <f t="shared" si="3"/>
        <v>136567719568.8875</v>
      </c>
    </row>
    <row r="23" spans="1:12" x14ac:dyDescent="0.25">
      <c r="A23" s="1">
        <v>41913</v>
      </c>
      <c r="B23">
        <v>15292.8</v>
      </c>
      <c r="H23">
        <f t="shared" si="0"/>
        <v>186.2931818181878</v>
      </c>
      <c r="I23">
        <f t="shared" si="1"/>
        <v>34705.149591944377</v>
      </c>
      <c r="K23">
        <f t="shared" si="2"/>
        <v>6465332.7429595003</v>
      </c>
      <c r="L23">
        <f t="shared" si="3"/>
        <v>1204447408.1992369</v>
      </c>
    </row>
    <row r="24" spans="1:12" x14ac:dyDescent="0.25">
      <c r="A24" s="1">
        <v>41944</v>
      </c>
      <c r="B24">
        <v>13544.7</v>
      </c>
      <c r="H24">
        <f t="shared" si="0"/>
        <v>203.2931818181878</v>
      </c>
      <c r="I24">
        <f t="shared" si="1"/>
        <v>41328.117773762766</v>
      </c>
      <c r="K24">
        <f t="shared" si="2"/>
        <v>8401724.5607850328</v>
      </c>
      <c r="L24">
        <f t="shared" si="3"/>
        <v>1708013318.7220058</v>
      </c>
    </row>
    <row r="25" spans="1:12" x14ac:dyDescent="0.25">
      <c r="A25" s="1">
        <v>41974</v>
      </c>
      <c r="B25">
        <v>14436.3</v>
      </c>
      <c r="H25">
        <f t="shared" si="0"/>
        <v>-1544.8068181818107</v>
      </c>
      <c r="I25">
        <f t="shared" si="1"/>
        <v>2386428.1055010101</v>
      </c>
      <c r="K25">
        <f t="shared" si="2"/>
        <v>-3686570408.478662</v>
      </c>
      <c r="L25">
        <f t="shared" si="3"/>
        <v>5695039102725.1396</v>
      </c>
    </row>
    <row r="26" spans="1:12" x14ac:dyDescent="0.25">
      <c r="A26" s="1">
        <v>42005</v>
      </c>
      <c r="B26">
        <v>13244.9</v>
      </c>
      <c r="H26">
        <f t="shared" si="0"/>
        <v>-653.2068181818122</v>
      </c>
      <c r="I26">
        <f t="shared" si="1"/>
        <v>426679.14731920708</v>
      </c>
      <c r="K26">
        <f t="shared" si="2"/>
        <v>-278709728.20490795</v>
      </c>
      <c r="L26">
        <f t="shared" si="3"/>
        <v>182055094757.04562</v>
      </c>
    </row>
    <row r="27" spans="1:12" x14ac:dyDescent="0.25">
      <c r="A27" s="1">
        <v>42036</v>
      </c>
      <c r="B27">
        <v>12172.8</v>
      </c>
      <c r="H27">
        <f t="shared" si="0"/>
        <v>-1844.6068181818118</v>
      </c>
      <c r="I27">
        <f t="shared" si="1"/>
        <v>3402574.3136828276</v>
      </c>
      <c r="K27">
        <f t="shared" si="2"/>
        <v>-6276411778.3896427</v>
      </c>
      <c r="L27">
        <f t="shared" si="3"/>
        <v>11577511960134.166</v>
      </c>
    </row>
    <row r="28" spans="1:12" x14ac:dyDescent="0.25">
      <c r="A28" s="1">
        <v>42064</v>
      </c>
      <c r="B28">
        <v>13634</v>
      </c>
      <c r="H28">
        <f t="shared" si="0"/>
        <v>-2916.7068181818122</v>
      </c>
      <c r="I28">
        <f t="shared" si="1"/>
        <v>8507178.6632282715</v>
      </c>
      <c r="K28">
        <f t="shared" si="2"/>
        <v>-24812946010.528736</v>
      </c>
      <c r="L28">
        <f t="shared" si="3"/>
        <v>72372088808086.359</v>
      </c>
    </row>
    <row r="29" spans="1:12" x14ac:dyDescent="0.25">
      <c r="A29" s="1">
        <v>42095</v>
      </c>
      <c r="B29">
        <v>13104.6</v>
      </c>
      <c r="H29">
        <f t="shared" si="0"/>
        <v>-1455.5068181818115</v>
      </c>
      <c r="I29">
        <f t="shared" si="1"/>
        <v>2118500.097773741</v>
      </c>
      <c r="K29">
        <f t="shared" si="2"/>
        <v>-3083491336.6285143</v>
      </c>
      <c r="L29">
        <f t="shared" si="3"/>
        <v>4488042664267.3506</v>
      </c>
    </row>
    <row r="30" spans="1:12" x14ac:dyDescent="0.25">
      <c r="A30" s="1">
        <v>42125</v>
      </c>
      <c r="B30">
        <v>12754.7</v>
      </c>
      <c r="H30">
        <f t="shared" si="0"/>
        <v>-1984.9068181818111</v>
      </c>
      <c r="I30">
        <f t="shared" si="1"/>
        <v>3939855.0768646412</v>
      </c>
      <c r="K30">
        <f t="shared" si="2"/>
        <v>-7820245204.7168493</v>
      </c>
      <c r="L30">
        <f t="shared" si="3"/>
        <v>15522458026696.088</v>
      </c>
    </row>
    <row r="31" spans="1:12" x14ac:dyDescent="0.25">
      <c r="A31" s="1">
        <v>42156</v>
      </c>
      <c r="B31">
        <v>13514.1</v>
      </c>
      <c r="H31">
        <f t="shared" si="0"/>
        <v>-2334.8068181818107</v>
      </c>
      <c r="I31">
        <f t="shared" si="1"/>
        <v>5451322.8782282714</v>
      </c>
      <c r="K31">
        <f t="shared" si="2"/>
        <v>-12727785824.197861</v>
      </c>
      <c r="L31">
        <f t="shared" si="3"/>
        <v>29716921122694.965</v>
      </c>
    </row>
    <row r="32" spans="1:12" x14ac:dyDescent="0.25">
      <c r="A32" s="1">
        <v>42186</v>
      </c>
      <c r="B32">
        <v>11465.8</v>
      </c>
      <c r="H32">
        <f t="shared" si="0"/>
        <v>-1575.4068181818111</v>
      </c>
      <c r="I32">
        <f t="shared" si="1"/>
        <v>2481906.6427737381</v>
      </c>
      <c r="K32">
        <f t="shared" si="2"/>
        <v>-3910012647.1164756</v>
      </c>
      <c r="L32">
        <f t="shared" si="3"/>
        <v>6159860583444.4082</v>
      </c>
    </row>
    <row r="33" spans="1:12" x14ac:dyDescent="0.25">
      <c r="A33" s="1">
        <v>42217</v>
      </c>
      <c r="B33">
        <v>12726</v>
      </c>
      <c r="H33">
        <f t="shared" si="0"/>
        <v>-3623.7068181818122</v>
      </c>
      <c r="I33">
        <f t="shared" si="1"/>
        <v>13131251.104137354</v>
      </c>
      <c r="K33">
        <f t="shared" si="2"/>
        <v>-47583804157.319977</v>
      </c>
      <c r="L33">
        <f t="shared" si="3"/>
        <v>172429755559908.47</v>
      </c>
    </row>
    <row r="34" spans="1:12" x14ac:dyDescent="0.25">
      <c r="A34" s="1">
        <v>42248</v>
      </c>
      <c r="B34">
        <v>12588.4</v>
      </c>
      <c r="H34">
        <f t="shared" si="0"/>
        <v>-2363.5068181818115</v>
      </c>
      <c r="I34">
        <f t="shared" si="1"/>
        <v>5586164.4795919107</v>
      </c>
      <c r="K34">
        <f t="shared" si="2"/>
        <v>-13202937835.000532</v>
      </c>
      <c r="L34">
        <f t="shared" si="3"/>
        <v>31205233593054.363</v>
      </c>
    </row>
    <row r="35" spans="1:12" x14ac:dyDescent="0.25">
      <c r="A35" s="1">
        <v>42278</v>
      </c>
      <c r="B35">
        <v>12121.7</v>
      </c>
      <c r="H35">
        <f t="shared" si="0"/>
        <v>-2501.1068181818118</v>
      </c>
      <c r="I35">
        <f t="shared" si="1"/>
        <v>6255535.3159555467</v>
      </c>
      <c r="K35">
        <f t="shared" si="2"/>
        <v>-15645762030.113533</v>
      </c>
      <c r="L35">
        <f t="shared" si="3"/>
        <v>39131722089167.063</v>
      </c>
    </row>
    <row r="36" spans="1:12" x14ac:dyDescent="0.25">
      <c r="A36" s="1">
        <v>42309</v>
      </c>
      <c r="B36">
        <v>11122.2</v>
      </c>
      <c r="H36">
        <f t="shared" si="0"/>
        <v>-2967.8068181818107</v>
      </c>
      <c r="I36">
        <f t="shared" si="1"/>
        <v>8807877.3100464437</v>
      </c>
      <c r="K36">
        <f t="shared" si="2"/>
        <v>-26140078334.464703</v>
      </c>
      <c r="L36">
        <f t="shared" si="3"/>
        <v>77578702708830.984</v>
      </c>
    </row>
    <row r="37" spans="1:12" x14ac:dyDescent="0.25">
      <c r="A37" s="1">
        <v>42339</v>
      </c>
      <c r="B37">
        <v>11917.1</v>
      </c>
      <c r="H37">
        <f t="shared" si="0"/>
        <v>-3967.3068181818107</v>
      </c>
      <c r="I37">
        <f t="shared" si="1"/>
        <v>15739523.389591884</v>
      </c>
      <c r="K37">
        <f t="shared" si="2"/>
        <v>-62443518458.459969</v>
      </c>
      <c r="L37">
        <f t="shared" si="3"/>
        <v>247732596531510</v>
      </c>
    </row>
    <row r="38" spans="1:12" x14ac:dyDescent="0.25">
      <c r="A38" s="1">
        <v>42370</v>
      </c>
      <c r="B38">
        <v>10581.9</v>
      </c>
      <c r="H38">
        <f t="shared" si="0"/>
        <v>-3172.4068181818111</v>
      </c>
      <c r="I38">
        <f t="shared" si="1"/>
        <v>10064165.020046443</v>
      </c>
      <c r="K38">
        <f t="shared" si="2"/>
        <v>-31927625728.902218</v>
      </c>
      <c r="L38">
        <f t="shared" si="3"/>
        <v>101287417550726.42</v>
      </c>
    </row>
    <row r="39" spans="1:12" x14ac:dyDescent="0.25">
      <c r="A39" s="1">
        <v>42401</v>
      </c>
      <c r="B39">
        <v>11316.7</v>
      </c>
      <c r="H39">
        <f t="shared" si="0"/>
        <v>-4507.6068181818118</v>
      </c>
      <c r="I39">
        <f t="shared" si="1"/>
        <v>20318519.227319159</v>
      </c>
      <c r="K39">
        <f t="shared" si="2"/>
        <v>-91587895804.422073</v>
      </c>
      <c r="L39">
        <f t="shared" si="3"/>
        <v>412842223590938.31</v>
      </c>
    </row>
    <row r="40" spans="1:12" x14ac:dyDescent="0.25">
      <c r="A40" s="1">
        <v>42430</v>
      </c>
      <c r="B40">
        <v>11812.1</v>
      </c>
      <c r="H40">
        <f t="shared" si="0"/>
        <v>-3772.8068181818107</v>
      </c>
      <c r="I40">
        <f t="shared" si="1"/>
        <v>14234071.287319159</v>
      </c>
      <c r="K40">
        <f t="shared" si="2"/>
        <v>-53702401203.283669</v>
      </c>
      <c r="L40">
        <f t="shared" si="3"/>
        <v>202608785412483.72</v>
      </c>
    </row>
    <row r="41" spans="1:12" x14ac:dyDescent="0.25">
      <c r="A41" s="1">
        <v>42461</v>
      </c>
      <c r="B41">
        <v>11689.7</v>
      </c>
      <c r="H41">
        <f t="shared" si="0"/>
        <v>-3277.4068181818111</v>
      </c>
      <c r="I41">
        <f t="shared" si="1"/>
        <v>10741395.451864623</v>
      </c>
      <c r="K41">
        <f t="shared" si="2"/>
        <v>-35203922690.72821</v>
      </c>
      <c r="L41">
        <f t="shared" si="3"/>
        <v>115377576253338</v>
      </c>
    </row>
    <row r="42" spans="1:12" x14ac:dyDescent="0.25">
      <c r="A42" s="1">
        <v>42491</v>
      </c>
      <c r="B42">
        <v>11517.4</v>
      </c>
      <c r="H42">
        <f t="shared" si="0"/>
        <v>-3399.8068181818107</v>
      </c>
      <c r="I42">
        <f t="shared" si="1"/>
        <v>11558686.400955528</v>
      </c>
      <c r="K42">
        <f t="shared" si="2"/>
        <v>-39297300835.193977</v>
      </c>
      <c r="L42">
        <f t="shared" si="3"/>
        <v>133603231315634.25</v>
      </c>
    </row>
    <row r="43" spans="1:12" x14ac:dyDescent="0.25">
      <c r="A43" s="1">
        <v>42522</v>
      </c>
      <c r="B43">
        <v>13206.1</v>
      </c>
      <c r="H43">
        <f t="shared" si="0"/>
        <v>-3572.1068181818118</v>
      </c>
      <c r="I43">
        <f t="shared" si="1"/>
        <v>12759947.120500987</v>
      </c>
      <c r="K43">
        <f t="shared" si="2"/>
        <v>-45579894108.780952</v>
      </c>
      <c r="L43">
        <f t="shared" si="3"/>
        <v>162816250517981.44</v>
      </c>
    </row>
    <row r="44" spans="1:12" x14ac:dyDescent="0.25">
      <c r="A44" s="1">
        <v>42552</v>
      </c>
      <c r="B44">
        <v>9649.5</v>
      </c>
      <c r="H44">
        <f t="shared" si="0"/>
        <v>-1883.4068181818111</v>
      </c>
      <c r="I44">
        <f t="shared" si="1"/>
        <v>3547221.2427737336</v>
      </c>
      <c r="K44">
        <f t="shared" si="2"/>
        <v>-6680860674.2394075</v>
      </c>
      <c r="L44">
        <f t="shared" si="3"/>
        <v>12582778545185.23</v>
      </c>
    </row>
    <row r="45" spans="1:12" x14ac:dyDescent="0.25">
      <c r="A45" s="1">
        <v>42583</v>
      </c>
      <c r="B45">
        <v>12701.7</v>
      </c>
      <c r="H45">
        <f t="shared" si="0"/>
        <v>-5440.0068181818115</v>
      </c>
      <c r="I45">
        <f t="shared" si="1"/>
        <v>29593674.181864597</v>
      </c>
      <c r="K45">
        <f t="shared" si="2"/>
        <v>-160989789324.39444</v>
      </c>
      <c r="L45">
        <f t="shared" si="3"/>
        <v>875785551582359.25</v>
      </c>
    </row>
    <row r="46" spans="1:12" x14ac:dyDescent="0.25">
      <c r="A46" s="1">
        <v>42614</v>
      </c>
      <c r="B46">
        <v>12579.8</v>
      </c>
      <c r="H46">
        <f t="shared" si="0"/>
        <v>-2387.8068181818107</v>
      </c>
      <c r="I46">
        <f t="shared" si="1"/>
        <v>5701621.4009555429</v>
      </c>
      <c r="K46">
        <f t="shared" si="2"/>
        <v>-13614370455.892973</v>
      </c>
      <c r="L46">
        <f t="shared" si="3"/>
        <v>32508486599834.246</v>
      </c>
    </row>
    <row r="47" spans="1:12" x14ac:dyDescent="0.25">
      <c r="A47" s="1">
        <v>42644</v>
      </c>
      <c r="B47">
        <v>12743.7</v>
      </c>
      <c r="H47">
        <f t="shared" si="0"/>
        <v>-2509.7068181818122</v>
      </c>
      <c r="I47">
        <f t="shared" si="1"/>
        <v>6298628.3132282756</v>
      </c>
      <c r="K47">
        <f t="shared" si="2"/>
        <v>-15807710422.90201</v>
      </c>
      <c r="L47">
        <f t="shared" si="3"/>
        <v>39672718628200.875</v>
      </c>
    </row>
    <row r="48" spans="1:12" x14ac:dyDescent="0.25">
      <c r="A48" s="1">
        <v>42675</v>
      </c>
      <c r="B48">
        <v>13502.9</v>
      </c>
      <c r="H48">
        <f t="shared" si="0"/>
        <v>-2345.8068181818107</v>
      </c>
      <c r="I48">
        <f t="shared" si="1"/>
        <v>5502809.6282282704</v>
      </c>
      <c r="K48">
        <f t="shared" si="2"/>
        <v>-12908528345.054392</v>
      </c>
      <c r="L48">
        <f t="shared" si="3"/>
        <v>30280913804521.758</v>
      </c>
    </row>
    <row r="49" spans="1:12" x14ac:dyDescent="0.25">
      <c r="A49" s="1">
        <v>42705</v>
      </c>
      <c r="B49">
        <v>13832.4</v>
      </c>
      <c r="H49">
        <f t="shared" si="0"/>
        <v>-1586.6068181818118</v>
      </c>
      <c r="I49">
        <f t="shared" si="1"/>
        <v>2517321.1955010127</v>
      </c>
      <c r="K49">
        <f t="shared" si="2"/>
        <v>-3993998972.3354964</v>
      </c>
      <c r="L49">
        <f t="shared" si="3"/>
        <v>6336906001318.6475</v>
      </c>
    </row>
    <row r="50" spans="1:12" x14ac:dyDescent="0.25">
      <c r="A50" s="1">
        <v>42736</v>
      </c>
      <c r="B50">
        <v>13397.7</v>
      </c>
      <c r="H50">
        <f t="shared" si="0"/>
        <v>-1257.1068181818118</v>
      </c>
      <c r="I50">
        <f t="shared" si="1"/>
        <v>1580317.5523191988</v>
      </c>
      <c r="K50">
        <f t="shared" si="2"/>
        <v>-1986627969.9128571</v>
      </c>
      <c r="L50">
        <f t="shared" si="3"/>
        <v>2497403566168.1436</v>
      </c>
    </row>
    <row r="51" spans="1:12" x14ac:dyDescent="0.25">
      <c r="A51" s="1">
        <v>42767</v>
      </c>
      <c r="B51">
        <v>12616</v>
      </c>
      <c r="H51">
        <f t="shared" si="0"/>
        <v>-1691.8068181818107</v>
      </c>
      <c r="I51">
        <f t="shared" si="1"/>
        <v>2862210.3100464623</v>
      </c>
      <c r="K51">
        <f t="shared" si="2"/>
        <v>-4842306917.6068792</v>
      </c>
      <c r="L51">
        <f t="shared" si="3"/>
        <v>8192247858936.2656</v>
      </c>
    </row>
    <row r="52" spans="1:12" x14ac:dyDescent="0.25">
      <c r="A52" s="1">
        <v>42795</v>
      </c>
      <c r="B52">
        <v>14718.5</v>
      </c>
      <c r="H52">
        <f t="shared" si="0"/>
        <v>-2473.5068181818115</v>
      </c>
      <c r="I52">
        <f t="shared" si="1"/>
        <v>6118235.9795919089</v>
      </c>
      <c r="K52">
        <f t="shared" si="2"/>
        <v>-15133498410.765862</v>
      </c>
      <c r="L52">
        <f t="shared" si="3"/>
        <v>37432811501972.961</v>
      </c>
    </row>
    <row r="53" spans="1:12" x14ac:dyDescent="0.25">
      <c r="A53" s="1">
        <v>42826</v>
      </c>
      <c r="B53">
        <v>13269.7</v>
      </c>
      <c r="H53">
        <f t="shared" si="0"/>
        <v>-371.00681818181147</v>
      </c>
      <c r="I53">
        <f t="shared" si="1"/>
        <v>137646.05913739171</v>
      </c>
      <c r="K53">
        <f t="shared" si="2"/>
        <v>-51067626.435829155</v>
      </c>
      <c r="L53">
        <f t="shared" si="3"/>
        <v>18946437596.054337</v>
      </c>
    </row>
    <row r="54" spans="1:12" x14ac:dyDescent="0.25">
      <c r="A54" s="1">
        <v>42856</v>
      </c>
      <c r="B54">
        <v>14333.9</v>
      </c>
      <c r="H54">
        <f t="shared" si="0"/>
        <v>-1819.8068181818107</v>
      </c>
      <c r="I54">
        <f t="shared" si="1"/>
        <v>3311696.8555010059</v>
      </c>
      <c r="K54">
        <f t="shared" si="2"/>
        <v>-6026648517.3919935</v>
      </c>
      <c r="L54">
        <f t="shared" si="3"/>
        <v>10967336062735.25</v>
      </c>
    </row>
    <row r="55" spans="1:12" x14ac:dyDescent="0.25">
      <c r="A55" s="1">
        <v>42887</v>
      </c>
      <c r="B55">
        <v>11661.4</v>
      </c>
      <c r="H55">
        <f t="shared" si="0"/>
        <v>-755.60681818181183</v>
      </c>
      <c r="I55">
        <f t="shared" si="1"/>
        <v>570941.6636828417</v>
      </c>
      <c r="K55">
        <f t="shared" si="2"/>
        <v>-431407413.86282212</v>
      </c>
      <c r="L55">
        <f t="shared" si="3"/>
        <v>325974383328.93109</v>
      </c>
    </row>
    <row r="56" spans="1:12" x14ac:dyDescent="0.25">
      <c r="A56" s="1">
        <v>42917</v>
      </c>
      <c r="B56">
        <v>13611.1</v>
      </c>
      <c r="H56">
        <f t="shared" si="0"/>
        <v>-3428.1068181818118</v>
      </c>
      <c r="I56">
        <f t="shared" si="1"/>
        <v>11751916.356864626</v>
      </c>
      <c r="K56">
        <f t="shared" si="2"/>
        <v>-40286824589.669983</v>
      </c>
      <c r="L56">
        <f t="shared" si="3"/>
        <v>138107538058742.33</v>
      </c>
    </row>
    <row r="57" spans="1:12" x14ac:dyDescent="0.25">
      <c r="A57" s="1">
        <v>42948</v>
      </c>
      <c r="B57">
        <v>15188</v>
      </c>
      <c r="H57">
        <f t="shared" si="0"/>
        <v>-1478.4068181818111</v>
      </c>
      <c r="I57">
        <f t="shared" si="1"/>
        <v>2185686.7200464667</v>
      </c>
      <c r="K57">
        <f t="shared" si="2"/>
        <v>-3231334149.3261356</v>
      </c>
      <c r="L57">
        <f t="shared" si="3"/>
        <v>4777226438187.4814</v>
      </c>
    </row>
    <row r="58" spans="1:12" x14ac:dyDescent="0.25">
      <c r="A58" s="1">
        <v>42979</v>
      </c>
      <c r="B58">
        <v>14580.2</v>
      </c>
      <c r="H58">
        <f t="shared" si="0"/>
        <v>98.493181818188532</v>
      </c>
      <c r="I58">
        <f t="shared" si="1"/>
        <v>9700.9068646707437</v>
      </c>
      <c r="K58">
        <f t="shared" si="2"/>
        <v>955473.1836233288</v>
      </c>
      <c r="L58">
        <f t="shared" si="3"/>
        <v>94107593.997015953</v>
      </c>
    </row>
    <row r="59" spans="1:12" x14ac:dyDescent="0.25">
      <c r="A59" s="1">
        <v>43009</v>
      </c>
      <c r="B59">
        <v>15252.6</v>
      </c>
      <c r="H59">
        <f t="shared" si="0"/>
        <v>-509.30681818181074</v>
      </c>
      <c r="I59">
        <f t="shared" si="1"/>
        <v>259393.43504648004</v>
      </c>
      <c r="K59">
        <f t="shared" si="2"/>
        <v>-132110845.06077294</v>
      </c>
      <c r="L59">
        <f t="shared" si="3"/>
        <v>67284954145.212456</v>
      </c>
    </row>
    <row r="60" spans="1:12" x14ac:dyDescent="0.25">
      <c r="A60" s="1">
        <v>43040</v>
      </c>
      <c r="B60">
        <v>15334.7</v>
      </c>
      <c r="H60">
        <f t="shared" si="0"/>
        <v>163.0931818181889</v>
      </c>
      <c r="I60">
        <f t="shared" si="1"/>
        <v>26599.385955580819</v>
      </c>
      <c r="K60">
        <f t="shared" si="2"/>
        <v>4338178.4899057224</v>
      </c>
      <c r="L60">
        <f t="shared" si="3"/>
        <v>707527333.21395016</v>
      </c>
    </row>
    <row r="61" spans="1:12" x14ac:dyDescent="0.25">
      <c r="A61" s="1">
        <v>43070</v>
      </c>
      <c r="B61">
        <v>14864.5</v>
      </c>
      <c r="H61">
        <f t="shared" si="0"/>
        <v>245.19318181818926</v>
      </c>
      <c r="I61">
        <f t="shared" si="1"/>
        <v>60119.696410127617</v>
      </c>
      <c r="K61">
        <f t="shared" si="2"/>
        <v>14740939.65274276</v>
      </c>
      <c r="L61">
        <f t="shared" si="3"/>
        <v>3614377896.4459114</v>
      </c>
    </row>
    <row r="62" spans="1:12" x14ac:dyDescent="0.25">
      <c r="A62" s="1">
        <v>43101</v>
      </c>
      <c r="B62">
        <v>14576.3</v>
      </c>
      <c r="H62">
        <f t="shared" si="0"/>
        <v>-225.00681818181147</v>
      </c>
      <c r="I62">
        <f t="shared" si="1"/>
        <v>50628.068228302764</v>
      </c>
      <c r="K62">
        <f t="shared" si="2"/>
        <v>-11391660.542742066</v>
      </c>
      <c r="L62">
        <f t="shared" si="3"/>
        <v>2563201292.5296798</v>
      </c>
    </row>
    <row r="63" spans="1:12" x14ac:dyDescent="0.25">
      <c r="A63" s="1">
        <v>43132</v>
      </c>
      <c r="B63">
        <v>14132.4</v>
      </c>
      <c r="H63">
        <f t="shared" si="0"/>
        <v>-513.2068181818122</v>
      </c>
      <c r="I63">
        <f t="shared" si="1"/>
        <v>263381.23822829966</v>
      </c>
      <c r="K63">
        <f t="shared" si="2"/>
        <v>-135169047.23993155</v>
      </c>
      <c r="L63">
        <f t="shared" si="3"/>
        <v>69369676650.672333</v>
      </c>
    </row>
    <row r="64" spans="1:12" x14ac:dyDescent="0.25">
      <c r="A64" s="1">
        <v>43160</v>
      </c>
      <c r="B64">
        <v>15510.6</v>
      </c>
      <c r="H64">
        <f t="shared" si="0"/>
        <v>-957.10681818181183</v>
      </c>
      <c r="I64">
        <f t="shared" si="1"/>
        <v>916053.46141011186</v>
      </c>
      <c r="K64">
        <f t="shared" si="2"/>
        <v>-876761013.7346673</v>
      </c>
      <c r="L64">
        <f t="shared" si="3"/>
        <v>839153944161.44727</v>
      </c>
    </row>
    <row r="65" spans="1:12" x14ac:dyDescent="0.25">
      <c r="A65" s="1">
        <v>43191</v>
      </c>
      <c r="B65">
        <v>14496.2</v>
      </c>
      <c r="H65">
        <f t="shared" si="0"/>
        <v>421.0931818181889</v>
      </c>
      <c r="I65">
        <f t="shared" si="1"/>
        <v>177319.46777376629</v>
      </c>
      <c r="K65">
        <f t="shared" si="2"/>
        <v>74668018.88316305</v>
      </c>
      <c r="L65">
        <f t="shared" si="3"/>
        <v>31442193651.571739</v>
      </c>
    </row>
    <row r="66" spans="1:12" x14ac:dyDescent="0.25">
      <c r="A66" s="1">
        <v>43221</v>
      </c>
      <c r="B66">
        <v>16198.3</v>
      </c>
      <c r="H66">
        <f t="shared" si="0"/>
        <v>-593.30681818181074</v>
      </c>
      <c r="I66">
        <f t="shared" si="1"/>
        <v>352012.98050102423</v>
      </c>
      <c r="K66">
        <f t="shared" si="2"/>
        <v>-208851701.41975847</v>
      </c>
      <c r="L66">
        <f t="shared" si="3"/>
        <v>123913138441.21446</v>
      </c>
    </row>
    <row r="67" spans="1:12" x14ac:dyDescent="0.25">
      <c r="A67" s="1">
        <v>43252</v>
      </c>
      <c r="B67">
        <v>12941.7</v>
      </c>
      <c r="H67">
        <f t="shared" si="0"/>
        <v>1108.7931818181878</v>
      </c>
      <c r="I67">
        <f t="shared" si="1"/>
        <v>1229422.3200465008</v>
      </c>
      <c r="K67">
        <f t="shared" si="2"/>
        <v>1363175086.0426581</v>
      </c>
      <c r="L67">
        <f t="shared" si="3"/>
        <v>1511479241028.5205</v>
      </c>
    </row>
    <row r="68" spans="1:12" x14ac:dyDescent="0.25">
      <c r="A68" s="1">
        <v>43282</v>
      </c>
      <c r="B68">
        <v>16284.7</v>
      </c>
      <c r="H68">
        <f t="shared" ref="H68:H131" si="4">B67-$E$3</f>
        <v>-2147.8068181818107</v>
      </c>
      <c r="I68">
        <f t="shared" ref="I68:I131" si="5">H68^2</f>
        <v>4613074.1282282742</v>
      </c>
      <c r="K68">
        <f t="shared" ref="K68:K131" si="6">H68^3</f>
        <v>-9907992065.3868008</v>
      </c>
      <c r="L68">
        <f t="shared" ref="L68:L131" si="7">H68^4</f>
        <v>21280452912529.051</v>
      </c>
    </row>
    <row r="69" spans="1:12" x14ac:dyDescent="0.25">
      <c r="A69" s="1">
        <v>43313</v>
      </c>
      <c r="B69">
        <v>15865.1</v>
      </c>
      <c r="H69">
        <f t="shared" si="4"/>
        <v>1195.1931818181893</v>
      </c>
      <c r="I69">
        <f t="shared" si="5"/>
        <v>1428486.7418646873</v>
      </c>
      <c r="K69">
        <f t="shared" si="6"/>
        <v>1707317614.1943541</v>
      </c>
      <c r="L69">
        <f t="shared" si="7"/>
        <v>2040574371683.1897</v>
      </c>
    </row>
    <row r="70" spans="1:12" x14ac:dyDescent="0.25">
      <c r="A70" s="1">
        <v>43344</v>
      </c>
      <c r="B70">
        <v>14956.3</v>
      </c>
      <c r="H70">
        <f t="shared" si="4"/>
        <v>775.5931818181889</v>
      </c>
      <c r="I70">
        <f t="shared" si="5"/>
        <v>601544.78368286218</v>
      </c>
      <c r="K70">
        <f t="shared" si="6"/>
        <v>466554032.78272521</v>
      </c>
      <c r="L70">
        <f t="shared" si="7"/>
        <v>361856126776.06146</v>
      </c>
    </row>
    <row r="71" spans="1:12" x14ac:dyDescent="0.25">
      <c r="A71" s="1">
        <v>43374</v>
      </c>
      <c r="B71">
        <v>15909.1</v>
      </c>
      <c r="H71">
        <f t="shared" si="4"/>
        <v>-133.2068181818122</v>
      </c>
      <c r="I71">
        <f t="shared" si="5"/>
        <v>17744.056410122372</v>
      </c>
      <c r="K71">
        <f t="shared" si="6"/>
        <v>-2363629.2960309898</v>
      </c>
      <c r="L71">
        <f t="shared" si="7"/>
        <v>314851537.88560486</v>
      </c>
    </row>
    <row r="72" spans="1:12" x14ac:dyDescent="0.25">
      <c r="A72" s="1">
        <v>43405</v>
      </c>
      <c r="B72">
        <v>14851.7</v>
      </c>
      <c r="H72">
        <f t="shared" si="4"/>
        <v>819.5931818181889</v>
      </c>
      <c r="I72">
        <f t="shared" si="5"/>
        <v>671732.98368286283</v>
      </c>
      <c r="K72">
        <f t="shared" si="6"/>
        <v>550547773.42886317</v>
      </c>
      <c r="L72">
        <f t="shared" si="7"/>
        <v>451225201367.48126</v>
      </c>
    </row>
    <row r="73" spans="1:12" x14ac:dyDescent="0.25">
      <c r="A73" s="1">
        <v>43435</v>
      </c>
      <c r="B73">
        <v>14290.1</v>
      </c>
      <c r="H73">
        <f t="shared" si="4"/>
        <v>-237.80681818181074</v>
      </c>
      <c r="I73">
        <f t="shared" si="5"/>
        <v>56552.082773756789</v>
      </c>
      <c r="K73">
        <f t="shared" si="6"/>
        <v>-13448470.865981491</v>
      </c>
      <c r="L73">
        <f t="shared" si="7"/>
        <v>3198138066.0498395</v>
      </c>
    </row>
    <row r="74" spans="1:12" x14ac:dyDescent="0.25">
      <c r="A74" s="1">
        <v>43466</v>
      </c>
      <c r="B74">
        <v>14028.1</v>
      </c>
      <c r="H74">
        <f t="shared" si="4"/>
        <v>-799.4068181818111</v>
      </c>
      <c r="I74">
        <f t="shared" si="5"/>
        <v>639051.26095556724</v>
      </c>
      <c r="K74">
        <f t="shared" si="6"/>
        <v>-510861935.17556429</v>
      </c>
      <c r="L74">
        <f t="shared" si="7"/>
        <v>408386514128.90051</v>
      </c>
    </row>
    <row r="75" spans="1:12" x14ac:dyDescent="0.25">
      <c r="A75" s="1">
        <v>43497</v>
      </c>
      <c r="B75">
        <v>12788.6</v>
      </c>
      <c r="H75">
        <f t="shared" si="4"/>
        <v>-1061.4068181818111</v>
      </c>
      <c r="I75">
        <f t="shared" si="5"/>
        <v>1126584.4336828361</v>
      </c>
      <c r="K75">
        <f t="shared" si="6"/>
        <v>-1195764399.1684568</v>
      </c>
      <c r="L75">
        <f t="shared" si="7"/>
        <v>1269192486216.4766</v>
      </c>
    </row>
    <row r="76" spans="1:12" x14ac:dyDescent="0.25">
      <c r="A76" s="1">
        <v>43525</v>
      </c>
      <c r="B76">
        <v>14447.8</v>
      </c>
      <c r="H76">
        <f t="shared" si="4"/>
        <v>-2300.9068181818111</v>
      </c>
      <c r="I76">
        <f t="shared" si="5"/>
        <v>5294172.1859555459</v>
      </c>
      <c r="K76">
        <f t="shared" si="6"/>
        <v>-12181396879.293619</v>
      </c>
      <c r="L76">
        <f t="shared" si="7"/>
        <v>28028259134545.324</v>
      </c>
    </row>
    <row r="77" spans="1:12" x14ac:dyDescent="0.25">
      <c r="A77" s="1">
        <v>43556</v>
      </c>
      <c r="B77">
        <v>13068.1</v>
      </c>
      <c r="H77">
        <f t="shared" si="4"/>
        <v>-641.7068181818122</v>
      </c>
      <c r="I77">
        <f t="shared" si="5"/>
        <v>411787.64050102537</v>
      </c>
      <c r="K77">
        <f t="shared" si="6"/>
        <v>-264246936.55250892</v>
      </c>
      <c r="L77">
        <f t="shared" si="7"/>
        <v>169569060869.4017</v>
      </c>
    </row>
    <row r="78" spans="1:12" x14ac:dyDescent="0.25">
      <c r="A78" s="1">
        <v>43586</v>
      </c>
      <c r="B78">
        <v>14751.9</v>
      </c>
      <c r="H78">
        <f t="shared" si="4"/>
        <v>-2021.4068181818111</v>
      </c>
      <c r="I78">
        <f t="shared" si="5"/>
        <v>4086085.5245919134</v>
      </c>
      <c r="K78">
        <f t="shared" si="6"/>
        <v>-8259641139.084096</v>
      </c>
      <c r="L78">
        <f t="shared" si="7"/>
        <v>16696094914279.572</v>
      </c>
    </row>
    <row r="79" spans="1:12" x14ac:dyDescent="0.25">
      <c r="A79" s="1">
        <v>43617</v>
      </c>
      <c r="B79">
        <v>11763.4</v>
      </c>
      <c r="H79">
        <f t="shared" si="4"/>
        <v>-337.60681818181183</v>
      </c>
      <c r="I79">
        <f t="shared" si="5"/>
        <v>113978.36368284695</v>
      </c>
      <c r="K79">
        <f t="shared" si="6"/>
        <v>-38479872.704535335</v>
      </c>
      <c r="L79">
        <f t="shared" si="7"/>
        <v>12991067387.819324</v>
      </c>
    </row>
    <row r="80" spans="1:12" x14ac:dyDescent="0.25">
      <c r="A80" s="1">
        <v>43647</v>
      </c>
      <c r="B80">
        <v>15238.4</v>
      </c>
      <c r="H80">
        <f t="shared" si="4"/>
        <v>-3326.1068181818118</v>
      </c>
      <c r="I80">
        <f t="shared" si="5"/>
        <v>11062986.565955536</v>
      </c>
      <c r="K80">
        <f t="shared" si="6"/>
        <v>-36796675046.4785</v>
      </c>
      <c r="L80">
        <f t="shared" si="7"/>
        <v>122389671758512.67</v>
      </c>
    </row>
    <row r="81" spans="1:12" x14ac:dyDescent="0.25">
      <c r="A81" s="1">
        <v>43678</v>
      </c>
      <c r="B81">
        <v>14262</v>
      </c>
      <c r="H81">
        <f t="shared" si="4"/>
        <v>148.89318181818817</v>
      </c>
      <c r="I81">
        <f t="shared" si="5"/>
        <v>22169.179591944041</v>
      </c>
      <c r="K81">
        <f t="shared" si="6"/>
        <v>3300839.6877433909</v>
      </c>
      <c r="L81">
        <f t="shared" si="7"/>
        <v>491472523.77986819</v>
      </c>
    </row>
    <row r="82" spans="1:12" x14ac:dyDescent="0.25">
      <c r="A82" s="1">
        <v>43709</v>
      </c>
      <c r="B82">
        <v>14080.1</v>
      </c>
      <c r="H82">
        <f t="shared" si="4"/>
        <v>-827.50681818181147</v>
      </c>
      <c r="I82">
        <f t="shared" si="5"/>
        <v>684767.53413738555</v>
      </c>
      <c r="K82">
        <f t="shared" si="6"/>
        <v>-566649803.36823285</v>
      </c>
      <c r="L82">
        <f t="shared" si="7"/>
        <v>468906575808.59546</v>
      </c>
    </row>
    <row r="83" spans="1:12" x14ac:dyDescent="0.25">
      <c r="A83" s="1">
        <v>43739</v>
      </c>
      <c r="B83">
        <v>14881.5</v>
      </c>
      <c r="H83">
        <f t="shared" si="4"/>
        <v>-1009.4068181818111</v>
      </c>
      <c r="I83">
        <f t="shared" si="5"/>
        <v>1018902.1245919279</v>
      </c>
      <c r="K83">
        <f t="shared" si="6"/>
        <v>-1028486751.6230252</v>
      </c>
      <c r="L83">
        <f t="shared" si="7"/>
        <v>1038161539497.9445</v>
      </c>
    </row>
    <row r="84" spans="1:12" x14ac:dyDescent="0.25">
      <c r="A84" s="1">
        <v>43770</v>
      </c>
      <c r="B84">
        <v>13944.5</v>
      </c>
      <c r="H84">
        <f t="shared" si="4"/>
        <v>-208.00681818181147</v>
      </c>
      <c r="I84">
        <f t="shared" si="5"/>
        <v>43266.836410121177</v>
      </c>
      <c r="K84">
        <f t="shared" si="6"/>
        <v>-8999796.9744622558</v>
      </c>
      <c r="L84">
        <f t="shared" si="7"/>
        <v>1872019132.9401877</v>
      </c>
    </row>
    <row r="85" spans="1:12" x14ac:dyDescent="0.25">
      <c r="A85" s="1">
        <v>43800</v>
      </c>
      <c r="B85">
        <v>14428.8</v>
      </c>
      <c r="H85">
        <f t="shared" si="4"/>
        <v>-1145.0068181818115</v>
      </c>
      <c r="I85">
        <f t="shared" si="5"/>
        <v>1311040.6136828358</v>
      </c>
      <c r="K85">
        <f t="shared" si="6"/>
        <v>-1501150441.5801134</v>
      </c>
      <c r="L85">
        <f t="shared" si="7"/>
        <v>1718827490725.8667</v>
      </c>
    </row>
    <row r="86" spans="1:12" x14ac:dyDescent="0.25">
      <c r="A86" s="1">
        <v>43831</v>
      </c>
      <c r="B86">
        <v>14028.1</v>
      </c>
      <c r="H86">
        <f t="shared" si="4"/>
        <v>-660.7068181818122</v>
      </c>
      <c r="I86">
        <f t="shared" si="5"/>
        <v>436533.49959193426</v>
      </c>
      <c r="K86">
        <f t="shared" si="6"/>
        <v>-288420659.54515833</v>
      </c>
      <c r="L86">
        <f t="shared" si="7"/>
        <v>190561496265.98126</v>
      </c>
    </row>
    <row r="87" spans="1:12" x14ac:dyDescent="0.25">
      <c r="A87" s="1">
        <v>43862</v>
      </c>
      <c r="B87">
        <v>12788.6</v>
      </c>
      <c r="H87">
        <f t="shared" si="4"/>
        <v>-1061.4068181818111</v>
      </c>
      <c r="I87">
        <f t="shared" si="5"/>
        <v>1126584.4336828361</v>
      </c>
      <c r="K87">
        <f t="shared" si="6"/>
        <v>-1195764399.1684568</v>
      </c>
      <c r="L87">
        <f t="shared" si="7"/>
        <v>1269192486216.4766</v>
      </c>
    </row>
    <row r="88" spans="1:12" x14ac:dyDescent="0.25">
      <c r="A88" s="1">
        <v>43891</v>
      </c>
      <c r="B88">
        <v>14447.8</v>
      </c>
      <c r="H88">
        <f t="shared" si="4"/>
        <v>-2300.9068181818111</v>
      </c>
      <c r="I88">
        <f t="shared" si="5"/>
        <v>5294172.1859555459</v>
      </c>
      <c r="K88">
        <f t="shared" si="6"/>
        <v>-12181396879.293619</v>
      </c>
      <c r="L88">
        <f t="shared" si="7"/>
        <v>28028259134545.324</v>
      </c>
    </row>
    <row r="89" spans="1:12" x14ac:dyDescent="0.25">
      <c r="A89" s="1">
        <v>43922</v>
      </c>
      <c r="B89">
        <v>13068.1</v>
      </c>
      <c r="H89">
        <f t="shared" si="4"/>
        <v>-641.7068181818122</v>
      </c>
      <c r="I89">
        <f t="shared" si="5"/>
        <v>411787.64050102537</v>
      </c>
      <c r="K89">
        <f t="shared" si="6"/>
        <v>-264246936.55250892</v>
      </c>
      <c r="L89">
        <f t="shared" si="7"/>
        <v>169569060869.4017</v>
      </c>
    </row>
    <row r="90" spans="1:12" x14ac:dyDescent="0.25">
      <c r="A90" s="1">
        <v>43952</v>
      </c>
      <c r="B90">
        <v>14751.9</v>
      </c>
      <c r="H90">
        <f t="shared" si="4"/>
        <v>-2021.4068181818111</v>
      </c>
      <c r="I90">
        <f t="shared" si="5"/>
        <v>4086085.5245919134</v>
      </c>
      <c r="K90">
        <f t="shared" si="6"/>
        <v>-8259641139.084096</v>
      </c>
      <c r="L90">
        <f t="shared" si="7"/>
        <v>16696094914279.572</v>
      </c>
    </row>
    <row r="91" spans="1:12" x14ac:dyDescent="0.25">
      <c r="A91" s="1">
        <v>43983</v>
      </c>
      <c r="B91">
        <v>11763.4</v>
      </c>
      <c r="H91">
        <f t="shared" si="4"/>
        <v>-337.60681818181183</v>
      </c>
      <c r="I91">
        <f t="shared" si="5"/>
        <v>113978.36368284695</v>
      </c>
      <c r="K91">
        <f t="shared" si="6"/>
        <v>-38479872.704535335</v>
      </c>
      <c r="L91">
        <f t="shared" si="7"/>
        <v>12991067387.819324</v>
      </c>
    </row>
    <row r="92" spans="1:12" x14ac:dyDescent="0.25">
      <c r="A92" s="1">
        <v>44013</v>
      </c>
      <c r="B92">
        <v>15238.4</v>
      </c>
      <c r="H92">
        <f t="shared" si="4"/>
        <v>-3326.1068181818118</v>
      </c>
      <c r="I92">
        <f t="shared" si="5"/>
        <v>11062986.565955536</v>
      </c>
      <c r="K92">
        <f t="shared" si="6"/>
        <v>-36796675046.4785</v>
      </c>
      <c r="L92">
        <f t="shared" si="7"/>
        <v>122389671758512.67</v>
      </c>
    </row>
    <row r="93" spans="1:12" x14ac:dyDescent="0.25">
      <c r="A93" s="1">
        <v>44044</v>
      </c>
      <c r="B93">
        <v>14262</v>
      </c>
      <c r="H93">
        <f t="shared" si="4"/>
        <v>148.89318181818817</v>
      </c>
      <c r="I93">
        <f t="shared" si="5"/>
        <v>22169.179591944041</v>
      </c>
      <c r="K93">
        <f t="shared" si="6"/>
        <v>3300839.6877433909</v>
      </c>
      <c r="L93">
        <f t="shared" si="7"/>
        <v>491472523.77986819</v>
      </c>
    </row>
    <row r="94" spans="1:12" x14ac:dyDescent="0.25">
      <c r="A94" s="1">
        <v>44075</v>
      </c>
      <c r="B94">
        <v>14080.1</v>
      </c>
      <c r="H94">
        <f t="shared" si="4"/>
        <v>-827.50681818181147</v>
      </c>
      <c r="I94">
        <f t="shared" si="5"/>
        <v>684767.53413738555</v>
      </c>
      <c r="K94">
        <f t="shared" si="6"/>
        <v>-566649803.36823285</v>
      </c>
      <c r="L94">
        <f t="shared" si="7"/>
        <v>468906575808.59546</v>
      </c>
    </row>
    <row r="95" spans="1:12" x14ac:dyDescent="0.25">
      <c r="A95" s="1">
        <v>44105</v>
      </c>
      <c r="B95">
        <v>14881.5</v>
      </c>
      <c r="H95">
        <f t="shared" si="4"/>
        <v>-1009.4068181818111</v>
      </c>
      <c r="I95">
        <f t="shared" si="5"/>
        <v>1018902.1245919279</v>
      </c>
      <c r="K95">
        <f t="shared" si="6"/>
        <v>-1028486751.6230252</v>
      </c>
      <c r="L95">
        <f t="shared" si="7"/>
        <v>1038161539497.9445</v>
      </c>
    </row>
    <row r="96" spans="1:12" x14ac:dyDescent="0.25">
      <c r="A96" s="1">
        <v>44136</v>
      </c>
      <c r="B96">
        <v>13944.5</v>
      </c>
      <c r="H96">
        <f t="shared" si="4"/>
        <v>-208.00681818181147</v>
      </c>
      <c r="I96">
        <f t="shared" si="5"/>
        <v>43266.836410121177</v>
      </c>
      <c r="K96">
        <f t="shared" si="6"/>
        <v>-8999796.9744622558</v>
      </c>
      <c r="L96">
        <f t="shared" si="7"/>
        <v>1872019132.9401877</v>
      </c>
    </row>
    <row r="97" spans="1:12" x14ac:dyDescent="0.25">
      <c r="A97" s="1">
        <v>44166</v>
      </c>
      <c r="B97">
        <v>14428.8</v>
      </c>
      <c r="H97">
        <f t="shared" si="4"/>
        <v>-1145.0068181818115</v>
      </c>
      <c r="I97">
        <f t="shared" si="5"/>
        <v>1311040.6136828358</v>
      </c>
      <c r="K97">
        <f t="shared" si="6"/>
        <v>-1501150441.5801134</v>
      </c>
      <c r="L97">
        <f t="shared" si="7"/>
        <v>1718827490725.8667</v>
      </c>
    </row>
    <row r="98" spans="1:12" x14ac:dyDescent="0.25">
      <c r="A98" s="1">
        <v>44197</v>
      </c>
      <c r="B98">
        <v>13636.4</v>
      </c>
      <c r="H98">
        <f t="shared" si="4"/>
        <v>-660.7068181818122</v>
      </c>
      <c r="I98">
        <f t="shared" si="5"/>
        <v>436533.49959193426</v>
      </c>
      <c r="K98">
        <f t="shared" si="6"/>
        <v>-288420659.54515833</v>
      </c>
      <c r="L98">
        <f t="shared" si="7"/>
        <v>190561496265.98126</v>
      </c>
    </row>
    <row r="99" spans="1:12" x14ac:dyDescent="0.25">
      <c r="A99" s="1">
        <v>44228</v>
      </c>
      <c r="B99">
        <v>14042.1</v>
      </c>
      <c r="H99">
        <f t="shared" si="4"/>
        <v>-1453.1068181818118</v>
      </c>
      <c r="I99">
        <f t="shared" si="5"/>
        <v>2111519.4250464691</v>
      </c>
      <c r="K99">
        <f t="shared" si="6"/>
        <v>-3068263273.2583632</v>
      </c>
      <c r="L99">
        <f t="shared" si="7"/>
        <v>4458514282348.5713</v>
      </c>
    </row>
    <row r="100" spans="1:12" x14ac:dyDescent="0.25">
      <c r="A100" s="1">
        <v>44256</v>
      </c>
      <c r="B100">
        <v>14031.3</v>
      </c>
      <c r="H100">
        <f t="shared" si="4"/>
        <v>-1047.4068181818111</v>
      </c>
      <c r="I100">
        <f t="shared" si="5"/>
        <v>1097061.0427737455</v>
      </c>
      <c r="K100">
        <f t="shared" si="6"/>
        <v>-1149069216.1628685</v>
      </c>
      <c r="L100">
        <f t="shared" si="7"/>
        <v>1203542931571.8179</v>
      </c>
    </row>
    <row r="101" spans="1:12" x14ac:dyDescent="0.25">
      <c r="A101" s="1">
        <v>44287</v>
      </c>
      <c r="B101">
        <v>12159.8</v>
      </c>
      <c r="H101">
        <f t="shared" si="4"/>
        <v>-1058.2068181818122</v>
      </c>
      <c r="I101">
        <f t="shared" si="5"/>
        <v>1119801.670046475</v>
      </c>
      <c r="K101">
        <f t="shared" si="6"/>
        <v>-1184981762.2545598</v>
      </c>
      <c r="L101">
        <f t="shared" si="7"/>
        <v>1253955780238.8745</v>
      </c>
    </row>
    <row r="102" spans="1:12" x14ac:dyDescent="0.25">
      <c r="A102" s="1">
        <v>44317</v>
      </c>
      <c r="B102">
        <v>10452.6</v>
      </c>
      <c r="H102">
        <f t="shared" si="4"/>
        <v>-2929.7068181818122</v>
      </c>
      <c r="I102">
        <f t="shared" si="5"/>
        <v>8583182.0405009985</v>
      </c>
      <c r="K102">
        <f t="shared" si="6"/>
        <v>-25146206945.751453</v>
      </c>
      <c r="L102">
        <f t="shared" si="7"/>
        <v>73671013940378.891</v>
      </c>
    </row>
    <row r="103" spans="1:12" x14ac:dyDescent="0.25">
      <c r="A103" s="1">
        <v>44348</v>
      </c>
      <c r="B103">
        <v>12006.8</v>
      </c>
      <c r="H103">
        <f t="shared" si="4"/>
        <v>-4636.9068181818111</v>
      </c>
      <c r="I103">
        <f t="shared" si="5"/>
        <v>21500904.840500966</v>
      </c>
      <c r="K103">
        <f t="shared" si="6"/>
        <v>-99697692251.997238</v>
      </c>
      <c r="L103">
        <f t="shared" si="7"/>
        <v>462288908960277.88</v>
      </c>
    </row>
    <row r="104" spans="1:12" x14ac:dyDescent="0.25">
      <c r="A104" s="1">
        <v>44378</v>
      </c>
      <c r="B104">
        <v>13689.9</v>
      </c>
      <c r="H104">
        <f t="shared" si="4"/>
        <v>-3082.7068181818122</v>
      </c>
      <c r="I104">
        <f t="shared" si="5"/>
        <v>9503081.3268646318</v>
      </c>
      <c r="K104">
        <f t="shared" si="6"/>
        <v>-29295213600.061863</v>
      </c>
      <c r="L104">
        <f t="shared" si="7"/>
        <v>90308554705003.25</v>
      </c>
    </row>
    <row r="105" spans="1:12" x14ac:dyDescent="0.25">
      <c r="A105" s="1">
        <v>44409</v>
      </c>
      <c r="B105">
        <v>13055.3</v>
      </c>
      <c r="H105">
        <f t="shared" si="4"/>
        <v>-1399.6068181818118</v>
      </c>
      <c r="I105">
        <f t="shared" si="5"/>
        <v>1958899.2455010153</v>
      </c>
      <c r="K105">
        <f t="shared" si="6"/>
        <v>-2741688740.134428</v>
      </c>
      <c r="L105">
        <f t="shared" si="7"/>
        <v>3837286254024.4473</v>
      </c>
    </row>
    <row r="106" spans="1:12" x14ac:dyDescent="0.25">
      <c r="A106" s="1">
        <v>44440</v>
      </c>
      <c r="B106">
        <v>13956.2</v>
      </c>
      <c r="H106">
        <f t="shared" si="4"/>
        <v>-2034.2068181818122</v>
      </c>
      <c r="I106">
        <f t="shared" si="5"/>
        <v>4137997.3791373721</v>
      </c>
      <c r="K106">
        <f t="shared" si="6"/>
        <v>-8417542482.2597113</v>
      </c>
      <c r="L106">
        <f t="shared" si="7"/>
        <v>17123022309747.76</v>
      </c>
    </row>
    <row r="107" spans="1:12" x14ac:dyDescent="0.25">
      <c r="A107" s="1">
        <v>44470</v>
      </c>
      <c r="B107">
        <v>14363.4</v>
      </c>
      <c r="H107">
        <f t="shared" si="4"/>
        <v>-1133.3068181818107</v>
      </c>
      <c r="I107">
        <f t="shared" si="5"/>
        <v>1284384.3441373799</v>
      </c>
      <c r="K107">
        <f t="shared" si="6"/>
        <v>-1455601534.3768659</v>
      </c>
      <c r="L107">
        <f t="shared" si="7"/>
        <v>1649643143465.2075</v>
      </c>
    </row>
    <row r="108" spans="1:12" x14ac:dyDescent="0.25">
      <c r="A108" s="1">
        <v>44501</v>
      </c>
      <c r="B108">
        <v>15258.4</v>
      </c>
      <c r="H108">
        <f t="shared" si="4"/>
        <v>-726.10681818181183</v>
      </c>
      <c r="I108">
        <f t="shared" si="5"/>
        <v>527231.1114101148</v>
      </c>
      <c r="K108">
        <f t="shared" si="6"/>
        <v>-382826104.75245881</v>
      </c>
      <c r="L108">
        <f t="shared" si="7"/>
        <v>277972644838.74487</v>
      </c>
    </row>
    <row r="109" spans="1:12" x14ac:dyDescent="0.25">
      <c r="A109" s="1">
        <v>44531</v>
      </c>
      <c r="B109">
        <v>16539.599999999999</v>
      </c>
      <c r="H109">
        <f t="shared" si="4"/>
        <v>168.89318181818817</v>
      </c>
      <c r="I109">
        <f t="shared" si="5"/>
        <v>28524.906864671568</v>
      </c>
      <c r="K109">
        <f t="shared" si="6"/>
        <v>4817662.281441859</v>
      </c>
      <c r="L109">
        <f t="shared" si="7"/>
        <v>813670311.63818717</v>
      </c>
    </row>
    <row r="110" spans="1:12" x14ac:dyDescent="0.25">
      <c r="A110" s="1">
        <v>44562</v>
      </c>
      <c r="B110">
        <v>15300.2</v>
      </c>
      <c r="H110">
        <f t="shared" si="4"/>
        <v>1450.0931818181871</v>
      </c>
      <c r="I110">
        <f t="shared" si="5"/>
        <v>2102770.2359555936</v>
      </c>
      <c r="K110">
        <f t="shared" si="6"/>
        <v>3049212782.089427</v>
      </c>
      <c r="L110">
        <f t="shared" si="7"/>
        <v>4421642665220.7432</v>
      </c>
    </row>
    <row r="111" spans="1:12" x14ac:dyDescent="0.25">
      <c r="A111" s="1">
        <v>44593</v>
      </c>
      <c r="B111">
        <v>15255.4</v>
      </c>
      <c r="H111">
        <f t="shared" si="4"/>
        <v>210.69318181818926</v>
      </c>
      <c r="I111">
        <f t="shared" si="5"/>
        <v>44391.616864672556</v>
      </c>
      <c r="K111">
        <f t="shared" si="6"/>
        <v>9353011.0032718517</v>
      </c>
      <c r="L111">
        <f t="shared" si="7"/>
        <v>1970615647.8598809</v>
      </c>
    </row>
    <row r="112" spans="1:12" x14ac:dyDescent="0.25">
      <c r="A112" s="1">
        <v>44621</v>
      </c>
      <c r="B112">
        <v>18398.400000000001</v>
      </c>
      <c r="H112">
        <f t="shared" si="4"/>
        <v>165.89318181818817</v>
      </c>
      <c r="I112">
        <f t="shared" si="5"/>
        <v>27520.547773762439</v>
      </c>
      <c r="K112">
        <f t="shared" si="6"/>
        <v>4565471.2355689062</v>
      </c>
      <c r="L112">
        <f t="shared" si="7"/>
        <v>757380549.76794076</v>
      </c>
    </row>
    <row r="113" spans="1:12" x14ac:dyDescent="0.25">
      <c r="A113" s="1">
        <v>44652</v>
      </c>
      <c r="B113">
        <v>18474.099999999999</v>
      </c>
      <c r="H113">
        <f t="shared" si="4"/>
        <v>3308.89318181819</v>
      </c>
      <c r="I113">
        <f t="shared" si="5"/>
        <v>10948774.088682905</v>
      </c>
      <c r="K113">
        <f t="shared" si="6"/>
        <v>36228323931.310532</v>
      </c>
      <c r="L113">
        <f t="shared" si="7"/>
        <v>119875654045014.17</v>
      </c>
    </row>
    <row r="114" spans="1:12" x14ac:dyDescent="0.25">
      <c r="A114" s="1">
        <v>44682</v>
      </c>
      <c r="B114">
        <v>16908</v>
      </c>
      <c r="H114">
        <f t="shared" si="4"/>
        <v>3384.5931818181871</v>
      </c>
      <c r="I114">
        <f t="shared" si="5"/>
        <v>11455471.006410159</v>
      </c>
      <c r="K114">
        <f t="shared" si="6"/>
        <v>38772109062.811752</v>
      </c>
      <c r="L114">
        <f t="shared" si="7"/>
        <v>131227815978703.78</v>
      </c>
    </row>
    <row r="115" spans="1:12" x14ac:dyDescent="0.25">
      <c r="A115" s="1">
        <v>44713</v>
      </c>
      <c r="B115">
        <v>18547.8</v>
      </c>
      <c r="H115">
        <f t="shared" si="4"/>
        <v>1818.4931818181885</v>
      </c>
      <c r="I115">
        <f t="shared" si="5"/>
        <v>3306917.4523192393</v>
      </c>
      <c r="K115">
        <f t="shared" si="6"/>
        <v>6013606839.8781109</v>
      </c>
      <c r="L115">
        <f t="shared" si="7"/>
        <v>10935703036453.568</v>
      </c>
    </row>
    <row r="116" spans="1:12" x14ac:dyDescent="0.25">
      <c r="A116" s="1">
        <v>44743</v>
      </c>
      <c r="B116">
        <v>19369.599999999999</v>
      </c>
      <c r="H116">
        <f t="shared" si="4"/>
        <v>3458.2931818181878</v>
      </c>
      <c r="I116">
        <f t="shared" si="5"/>
        <v>11959791.731410166</v>
      </c>
      <c r="K116">
        <f t="shared" si="6"/>
        <v>41360466200.701317</v>
      </c>
      <c r="L116">
        <f t="shared" si="7"/>
        <v>143036618258706.97</v>
      </c>
    </row>
    <row r="117" spans="1:12" x14ac:dyDescent="0.25">
      <c r="A117" s="1">
        <v>44774</v>
      </c>
      <c r="B117">
        <v>21443.200000000001</v>
      </c>
      <c r="H117">
        <f t="shared" si="4"/>
        <v>4280.0931818181871</v>
      </c>
      <c r="I117">
        <f t="shared" si="5"/>
        <v>18319197.645046532</v>
      </c>
      <c r="K117">
        <f t="shared" si="6"/>
        <v>78407872936.943451</v>
      </c>
      <c r="L117">
        <f t="shared" si="7"/>
        <v>335593002358278.44</v>
      </c>
    </row>
    <row r="118" spans="1:12" x14ac:dyDescent="0.25">
      <c r="A118" s="1">
        <v>44805</v>
      </c>
      <c r="B118">
        <v>20618.8</v>
      </c>
      <c r="H118">
        <f t="shared" si="4"/>
        <v>6353.6931818181893</v>
      </c>
      <c r="I118">
        <f t="shared" si="5"/>
        <v>40369417.048682943</v>
      </c>
      <c r="K118">
        <f t="shared" si="6"/>
        <v>256494889856.19177</v>
      </c>
      <c r="L118">
        <f t="shared" si="7"/>
        <v>1629689832850493</v>
      </c>
    </row>
    <row r="119" spans="1:12" x14ac:dyDescent="0.25">
      <c r="A119" s="1">
        <v>44835</v>
      </c>
      <c r="B119">
        <v>22091</v>
      </c>
      <c r="H119">
        <f t="shared" si="4"/>
        <v>5529.2931818181878</v>
      </c>
      <c r="I119">
        <f t="shared" si="5"/>
        <v>30573083.0905011</v>
      </c>
      <c r="K119">
        <f t="shared" si="6"/>
        <v>169047539879.46866</v>
      </c>
      <c r="L119">
        <f t="shared" si="7"/>
        <v>934713409658684.25</v>
      </c>
    </row>
    <row r="120" spans="1:12" x14ac:dyDescent="0.25">
      <c r="A120" s="1">
        <v>44866</v>
      </c>
      <c r="B120">
        <v>22845.4</v>
      </c>
      <c r="H120">
        <f t="shared" si="4"/>
        <v>7001.4931818181885</v>
      </c>
      <c r="I120">
        <f t="shared" si="5"/>
        <v>49020906.77504658</v>
      </c>
      <c r="K120">
        <f t="shared" si="6"/>
        <v>343219544552.03369</v>
      </c>
      <c r="L120">
        <f t="shared" si="7"/>
        <v>2403049301047807.5</v>
      </c>
    </row>
    <row r="121" spans="1:12" x14ac:dyDescent="0.25">
      <c r="A121" s="1">
        <v>44896</v>
      </c>
      <c r="B121">
        <v>22357.7</v>
      </c>
      <c r="H121">
        <f t="shared" si="4"/>
        <v>7755.89318181819</v>
      </c>
      <c r="I121">
        <f t="shared" si="5"/>
        <v>60153879.04777389</v>
      </c>
      <c r="K121">
        <f t="shared" si="6"/>
        <v>466547060366.54559</v>
      </c>
      <c r="L121">
        <f t="shared" si="7"/>
        <v>3618489164494210.5</v>
      </c>
    </row>
    <row r="122" spans="1:12" x14ac:dyDescent="0.25">
      <c r="A122" s="1">
        <v>44927</v>
      </c>
      <c r="B122">
        <v>22320.7</v>
      </c>
      <c r="H122">
        <f t="shared" si="4"/>
        <v>7268.1931818181893</v>
      </c>
      <c r="I122">
        <f t="shared" si="5"/>
        <v>52826632.128228411</v>
      </c>
      <c r="K122">
        <f t="shared" si="6"/>
        <v>383954167452.80743</v>
      </c>
      <c r="L122">
        <f t="shared" si="7"/>
        <v>2790653062011174</v>
      </c>
    </row>
    <row r="123" spans="1:12" x14ac:dyDescent="0.25">
      <c r="A123" s="1">
        <v>44958</v>
      </c>
      <c r="B123">
        <v>21319.7</v>
      </c>
      <c r="H123">
        <f t="shared" si="4"/>
        <v>7231.1931818181893</v>
      </c>
      <c r="I123">
        <f t="shared" si="5"/>
        <v>52290154.832773864</v>
      </c>
      <c r="K123">
        <f t="shared" si="6"/>
        <v>378120211102.9718</v>
      </c>
      <c r="L123">
        <f t="shared" si="7"/>
        <v>2734260292435464</v>
      </c>
    </row>
    <row r="124" spans="1:12" x14ac:dyDescent="0.25">
      <c r="A124" s="1">
        <v>44986</v>
      </c>
      <c r="B124">
        <v>23413.9</v>
      </c>
      <c r="H124">
        <f t="shared" si="4"/>
        <v>6230.1931818181893</v>
      </c>
      <c r="I124">
        <f t="shared" si="5"/>
        <v>38815307.082773849</v>
      </c>
      <c r="K124">
        <f t="shared" si="6"/>
        <v>241826861537.27692</v>
      </c>
      <c r="L124">
        <f t="shared" si="7"/>
        <v>1506628063930033.8</v>
      </c>
    </row>
    <row r="125" spans="1:12" x14ac:dyDescent="0.25">
      <c r="A125" s="1">
        <v>45017</v>
      </c>
      <c r="B125">
        <v>19280.400000000001</v>
      </c>
      <c r="H125">
        <f t="shared" si="4"/>
        <v>8324.39318181819</v>
      </c>
      <c r="I125">
        <f t="shared" si="5"/>
        <v>69295521.84550117</v>
      </c>
      <c r="K125">
        <f t="shared" si="6"/>
        <v>576843169581.22339</v>
      </c>
      <c r="L125">
        <f t="shared" si="7"/>
        <v>4801869347840330</v>
      </c>
    </row>
    <row r="126" spans="1:12" x14ac:dyDescent="0.25">
      <c r="A126" s="1">
        <v>45047</v>
      </c>
      <c r="B126">
        <v>21706.5</v>
      </c>
      <c r="H126">
        <f t="shared" si="4"/>
        <v>4190.89318181819</v>
      </c>
      <c r="I126">
        <f t="shared" si="5"/>
        <v>17563585.661410194</v>
      </c>
      <c r="K126">
        <f t="shared" si="6"/>
        <v>73607111396.683701</v>
      </c>
      <c r="L126">
        <f t="shared" si="7"/>
        <v>308479541285693.75</v>
      </c>
    </row>
    <row r="127" spans="1:12" x14ac:dyDescent="0.25">
      <c r="A127" s="1">
        <v>45078</v>
      </c>
      <c r="B127">
        <v>20599</v>
      </c>
      <c r="H127">
        <f t="shared" si="4"/>
        <v>6616.9931818181885</v>
      </c>
      <c r="I127">
        <f t="shared" si="5"/>
        <v>43784598.768228397</v>
      </c>
      <c r="K127">
        <f t="shared" si="6"/>
        <v>289722391518.01233</v>
      </c>
      <c r="L127">
        <f t="shared" si="7"/>
        <v>1917091089294747.8</v>
      </c>
    </row>
    <row r="128" spans="1:12" x14ac:dyDescent="0.25">
      <c r="A128" s="1">
        <v>45108</v>
      </c>
      <c r="B128">
        <v>20861.3</v>
      </c>
      <c r="H128">
        <f t="shared" si="4"/>
        <v>5509.4931818181885</v>
      </c>
      <c r="I128">
        <f t="shared" si="5"/>
        <v>30354515.120501108</v>
      </c>
      <c r="K128">
        <f t="shared" si="6"/>
        <v>167237994093.79797</v>
      </c>
      <c r="L128">
        <f t="shared" si="7"/>
        <v>921396588200730.38</v>
      </c>
    </row>
    <row r="129" spans="1:12" x14ac:dyDescent="0.25">
      <c r="A129" s="1">
        <v>45139</v>
      </c>
      <c r="B129">
        <v>21996.3</v>
      </c>
      <c r="H129">
        <f t="shared" si="4"/>
        <v>5771.7931818181878</v>
      </c>
      <c r="I129">
        <f t="shared" si="5"/>
        <v>33313596.53368292</v>
      </c>
      <c r="K129">
        <f t="shared" si="6"/>
        <v>192279189334.95309</v>
      </c>
      <c r="L129">
        <f t="shared" si="7"/>
        <v>1109795714009010.6</v>
      </c>
    </row>
    <row r="130" spans="1:12" x14ac:dyDescent="0.25">
      <c r="A130" s="1">
        <v>45170</v>
      </c>
      <c r="B130">
        <v>20744.900000000001</v>
      </c>
      <c r="H130">
        <f t="shared" si="4"/>
        <v>6906.7931818181878</v>
      </c>
      <c r="I130">
        <f t="shared" si="5"/>
        <v>47703792.056410208</v>
      </c>
      <c r="K130">
        <f t="shared" si="6"/>
        <v>329480225722.08667</v>
      </c>
      <c r="L130">
        <f t="shared" si="7"/>
        <v>2275651776561225.5</v>
      </c>
    </row>
    <row r="131" spans="1:12" x14ac:dyDescent="0.25">
      <c r="A131" s="1">
        <v>45200</v>
      </c>
      <c r="B131">
        <v>22144.5</v>
      </c>
      <c r="H131">
        <f t="shared" si="4"/>
        <v>5655.39318181819</v>
      </c>
      <c r="I131">
        <f t="shared" si="5"/>
        <v>31983472.04095567</v>
      </c>
      <c r="K131">
        <f t="shared" si="6"/>
        <v>180879109711.2934</v>
      </c>
      <c r="L131">
        <f t="shared" si="7"/>
        <v>1022942483794593</v>
      </c>
    </row>
    <row r="132" spans="1:12" x14ac:dyDescent="0.25">
      <c r="A132" s="1">
        <v>45231</v>
      </c>
      <c r="B132">
        <v>21995.9</v>
      </c>
      <c r="H132">
        <f t="shared" ref="H132:H134" si="8">B131-$E$3</f>
        <v>7054.9931818181885</v>
      </c>
      <c r="I132">
        <f t="shared" ref="I132:I134" si="9">H132^2</f>
        <v>49772928.795501128</v>
      </c>
      <c r="K132">
        <f t="shared" ref="K132:K134" si="10">H132^3</f>
        <v>351147673291.38263</v>
      </c>
      <c r="L132">
        <f t="shared" ref="L132:L134" si="11">H132^4</f>
        <v>2477344440882025.5</v>
      </c>
    </row>
    <row r="133" spans="1:12" x14ac:dyDescent="0.25">
      <c r="A133" s="1">
        <v>45261</v>
      </c>
      <c r="B133">
        <v>22391.200000000001</v>
      </c>
      <c r="H133">
        <f t="shared" si="8"/>
        <v>6906.39318181819</v>
      </c>
      <c r="I133">
        <f t="shared" si="9"/>
        <v>47698266.781864785</v>
      </c>
      <c r="K133">
        <f t="shared" si="10"/>
        <v>329422984486.81598</v>
      </c>
      <c r="L133">
        <f t="shared" si="11"/>
        <v>2275124653993945.5</v>
      </c>
    </row>
    <row r="134" spans="1:12" x14ac:dyDescent="0.25">
      <c r="H134">
        <f t="shared" si="8"/>
        <v>7301.6931818181893</v>
      </c>
      <c r="I134">
        <f t="shared" si="9"/>
        <v>53314723.321410231</v>
      </c>
      <c r="K134">
        <f t="shared" si="10"/>
        <v>389287751766.46429</v>
      </c>
      <c r="L134">
        <f t="shared" si="11"/>
        <v>2842459722838524</v>
      </c>
    </row>
    <row r="135" spans="1:12" x14ac:dyDescent="0.25">
      <c r="I135" t="s">
        <v>8</v>
      </c>
      <c r="J135">
        <f>SUM(I3:I134)</f>
        <v>1174013392.5038638</v>
      </c>
      <c r="K135">
        <f>SUM(K3:K134)</f>
        <v>4206159673356.27</v>
      </c>
      <c r="L135">
        <f>SUM(L3:L134)</f>
        <v>4.041592911724664E+16</v>
      </c>
    </row>
    <row r="136" spans="1:12" x14ac:dyDescent="0.25">
      <c r="J136" t="s">
        <v>13</v>
      </c>
      <c r="K136">
        <f>K135/D3</f>
        <v>31864846010.274773</v>
      </c>
      <c r="L136">
        <f>L135/D3</f>
        <v>306181281191262.44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4"/>
  <sheetViews>
    <sheetView topLeftCell="A114" workbookViewId="0">
      <selection activeCell="A2" sqref="A2:B121"/>
    </sheetView>
  </sheetViews>
  <sheetFormatPr defaultRowHeight="15" x14ac:dyDescent="0.25"/>
  <sheetData>
    <row r="1" spans="1:5" x14ac:dyDescent="0.25">
      <c r="D1" t="s">
        <v>14</v>
      </c>
      <c r="E1" t="s">
        <v>15</v>
      </c>
    </row>
    <row r="2" spans="1:5" x14ac:dyDescent="0.25">
      <c r="A2" t="s">
        <v>0</v>
      </c>
      <c r="B2" t="s">
        <v>1</v>
      </c>
      <c r="C2">
        <v>15375.5</v>
      </c>
      <c r="D2" s="1">
        <v>41275</v>
      </c>
      <c r="E2">
        <v>0</v>
      </c>
    </row>
    <row r="3" spans="1:5" x14ac:dyDescent="0.25">
      <c r="A3" s="1">
        <v>41275</v>
      </c>
      <c r="B3">
        <v>15375.5</v>
      </c>
      <c r="C3">
        <v>15015.6</v>
      </c>
      <c r="D3" s="1">
        <v>41306</v>
      </c>
      <c r="E3">
        <f t="shared" ref="E3:E34" si="0">C3-B3</f>
        <v>-359.89999999999964</v>
      </c>
    </row>
    <row r="4" spans="1:5" x14ac:dyDescent="0.25">
      <c r="A4" s="1">
        <v>41306</v>
      </c>
      <c r="B4">
        <v>15015.6</v>
      </c>
      <c r="C4">
        <v>15024.6</v>
      </c>
      <c r="D4" s="1">
        <v>41334</v>
      </c>
      <c r="E4">
        <f t="shared" si="0"/>
        <v>9</v>
      </c>
    </row>
    <row r="5" spans="1:5" x14ac:dyDescent="0.25">
      <c r="A5" s="1">
        <v>41334</v>
      </c>
      <c r="B5">
        <v>15024.6</v>
      </c>
      <c r="C5">
        <v>14760.9</v>
      </c>
      <c r="D5" s="1">
        <v>41365</v>
      </c>
      <c r="E5">
        <f t="shared" si="0"/>
        <v>-263.70000000000073</v>
      </c>
    </row>
    <row r="6" spans="1:5" x14ac:dyDescent="0.25">
      <c r="A6" s="1">
        <v>41365</v>
      </c>
      <c r="B6">
        <v>14760.9</v>
      </c>
      <c r="C6">
        <v>16133.4</v>
      </c>
      <c r="D6" s="1">
        <v>41395</v>
      </c>
      <c r="E6">
        <f t="shared" si="0"/>
        <v>1372.5</v>
      </c>
    </row>
    <row r="7" spans="1:5" x14ac:dyDescent="0.25">
      <c r="A7" s="1">
        <v>41395</v>
      </c>
      <c r="B7">
        <v>16133.4</v>
      </c>
      <c r="C7">
        <v>14758.8</v>
      </c>
      <c r="D7" s="1">
        <v>41426</v>
      </c>
      <c r="E7">
        <f t="shared" si="0"/>
        <v>-1374.6000000000004</v>
      </c>
    </row>
    <row r="8" spans="1:5" x14ac:dyDescent="0.25">
      <c r="A8" s="1">
        <v>41426</v>
      </c>
      <c r="B8">
        <v>14758.8</v>
      </c>
      <c r="C8">
        <v>15087.9</v>
      </c>
      <c r="D8" s="1">
        <v>41456</v>
      </c>
      <c r="E8">
        <f t="shared" si="0"/>
        <v>329.10000000000036</v>
      </c>
    </row>
    <row r="9" spans="1:5" x14ac:dyDescent="0.25">
      <c r="A9" s="1">
        <v>41456</v>
      </c>
      <c r="B9">
        <v>15087.9</v>
      </c>
      <c r="C9">
        <v>13083.7</v>
      </c>
      <c r="D9" s="1">
        <v>41487</v>
      </c>
      <c r="E9">
        <f t="shared" si="0"/>
        <v>-2004.1999999999989</v>
      </c>
    </row>
    <row r="10" spans="1:5" x14ac:dyDescent="0.25">
      <c r="A10" s="1">
        <v>41487</v>
      </c>
      <c r="B10">
        <v>13083.7</v>
      </c>
      <c r="C10">
        <v>14706.8</v>
      </c>
      <c r="D10" s="1">
        <v>41518</v>
      </c>
      <c r="E10">
        <f t="shared" si="0"/>
        <v>1623.0999999999985</v>
      </c>
    </row>
    <row r="11" spans="1:5" x14ac:dyDescent="0.25">
      <c r="A11" s="1">
        <v>41518</v>
      </c>
      <c r="B11">
        <v>14706.8</v>
      </c>
      <c r="C11">
        <v>15698.3</v>
      </c>
      <c r="D11" s="1">
        <v>41548</v>
      </c>
      <c r="E11">
        <f t="shared" si="0"/>
        <v>991.5</v>
      </c>
    </row>
    <row r="12" spans="1:5" x14ac:dyDescent="0.25">
      <c r="A12" s="1">
        <v>41548</v>
      </c>
      <c r="B12">
        <v>15698.3</v>
      </c>
      <c r="C12">
        <v>15938.6</v>
      </c>
      <c r="D12" s="1">
        <v>41579</v>
      </c>
      <c r="E12">
        <f t="shared" si="0"/>
        <v>240.30000000000109</v>
      </c>
    </row>
    <row r="13" spans="1:5" x14ac:dyDescent="0.25">
      <c r="A13" s="1">
        <v>41579</v>
      </c>
      <c r="B13">
        <v>15938.6</v>
      </c>
      <c r="C13">
        <v>16967.8</v>
      </c>
      <c r="D13" s="1">
        <v>41609</v>
      </c>
      <c r="E13">
        <f t="shared" si="0"/>
        <v>1029.1999999999989</v>
      </c>
    </row>
    <row r="14" spans="1:5" x14ac:dyDescent="0.25">
      <c r="A14" s="1">
        <v>41609</v>
      </c>
      <c r="B14">
        <v>16967.8</v>
      </c>
      <c r="C14">
        <v>14472.3</v>
      </c>
      <c r="D14" s="1">
        <v>41640</v>
      </c>
      <c r="E14">
        <f t="shared" si="0"/>
        <v>-2495.5</v>
      </c>
    </row>
    <row r="15" spans="1:5" x14ac:dyDescent="0.25">
      <c r="A15" s="1">
        <v>41640</v>
      </c>
      <c r="B15">
        <v>14472.3</v>
      </c>
      <c r="C15">
        <v>14634.1</v>
      </c>
      <c r="D15" s="1">
        <v>41671</v>
      </c>
      <c r="E15">
        <f t="shared" si="0"/>
        <v>161.80000000000109</v>
      </c>
    </row>
    <row r="16" spans="1:5" x14ac:dyDescent="0.25">
      <c r="A16" s="1">
        <v>41671</v>
      </c>
      <c r="B16">
        <v>14634.1</v>
      </c>
      <c r="C16">
        <v>15192.6</v>
      </c>
      <c r="D16" s="1">
        <v>41699</v>
      </c>
      <c r="E16">
        <f t="shared" si="0"/>
        <v>558.5</v>
      </c>
    </row>
    <row r="17" spans="1:5" x14ac:dyDescent="0.25">
      <c r="A17" s="1">
        <v>41699</v>
      </c>
      <c r="B17">
        <v>15192.6</v>
      </c>
      <c r="C17">
        <v>14292.5</v>
      </c>
      <c r="D17" s="1">
        <v>41730</v>
      </c>
      <c r="E17">
        <f t="shared" si="0"/>
        <v>-900.10000000000036</v>
      </c>
    </row>
    <row r="18" spans="1:5" x14ac:dyDescent="0.25">
      <c r="A18" s="1">
        <v>41730</v>
      </c>
      <c r="B18">
        <v>14292.5</v>
      </c>
      <c r="C18">
        <v>14823.6</v>
      </c>
      <c r="D18" s="1">
        <v>41760</v>
      </c>
      <c r="E18">
        <f t="shared" si="0"/>
        <v>531.10000000000036</v>
      </c>
    </row>
    <row r="19" spans="1:5" x14ac:dyDescent="0.25">
      <c r="A19" s="1">
        <v>41760</v>
      </c>
      <c r="B19">
        <v>14823.6</v>
      </c>
      <c r="C19">
        <v>15409.5</v>
      </c>
      <c r="D19" s="1">
        <v>41791</v>
      </c>
      <c r="E19">
        <f t="shared" si="0"/>
        <v>585.89999999999964</v>
      </c>
    </row>
    <row r="20" spans="1:5" x14ac:dyDescent="0.25">
      <c r="A20" s="1">
        <v>41791</v>
      </c>
      <c r="B20">
        <v>15409.5</v>
      </c>
      <c r="C20">
        <v>14124.1</v>
      </c>
      <c r="D20" s="1">
        <v>41821</v>
      </c>
      <c r="E20">
        <f t="shared" si="0"/>
        <v>-1285.3999999999996</v>
      </c>
    </row>
    <row r="21" spans="1:5" x14ac:dyDescent="0.25">
      <c r="A21" s="1">
        <v>41821</v>
      </c>
      <c r="B21">
        <v>14124.1</v>
      </c>
      <c r="C21">
        <v>14481.6</v>
      </c>
      <c r="D21" s="1">
        <v>41852</v>
      </c>
      <c r="E21">
        <f t="shared" si="0"/>
        <v>357.5</v>
      </c>
    </row>
    <row r="22" spans="1:5" x14ac:dyDescent="0.25">
      <c r="A22" s="1">
        <v>41852</v>
      </c>
      <c r="B22">
        <v>14481.6</v>
      </c>
      <c r="C22">
        <v>15275.8</v>
      </c>
      <c r="D22" s="1">
        <v>41883</v>
      </c>
      <c r="E22">
        <f t="shared" si="0"/>
        <v>794.19999999999891</v>
      </c>
    </row>
    <row r="23" spans="1:5" x14ac:dyDescent="0.25">
      <c r="A23" s="1">
        <v>41883</v>
      </c>
      <c r="B23">
        <v>15275.8</v>
      </c>
      <c r="C23">
        <v>15292.8</v>
      </c>
      <c r="D23" s="1">
        <v>41913</v>
      </c>
      <c r="E23">
        <f t="shared" si="0"/>
        <v>17</v>
      </c>
    </row>
    <row r="24" spans="1:5" x14ac:dyDescent="0.25">
      <c r="A24" s="1">
        <v>41913</v>
      </c>
      <c r="B24">
        <v>15292.8</v>
      </c>
      <c r="C24">
        <v>13544.7</v>
      </c>
      <c r="D24" s="1">
        <v>41944</v>
      </c>
      <c r="E24">
        <f t="shared" si="0"/>
        <v>-1748.0999999999985</v>
      </c>
    </row>
    <row r="25" spans="1:5" x14ac:dyDescent="0.25">
      <c r="A25" s="1">
        <v>41944</v>
      </c>
      <c r="B25">
        <v>13544.7</v>
      </c>
      <c r="C25">
        <v>14436.3</v>
      </c>
      <c r="D25" s="1">
        <v>41974</v>
      </c>
      <c r="E25">
        <f t="shared" si="0"/>
        <v>891.59999999999854</v>
      </c>
    </row>
    <row r="26" spans="1:5" x14ac:dyDescent="0.25">
      <c r="A26" s="1">
        <v>41974</v>
      </c>
      <c r="B26">
        <v>14436.3</v>
      </c>
      <c r="C26">
        <v>13244.9</v>
      </c>
      <c r="D26" s="1">
        <v>42005</v>
      </c>
      <c r="E26">
        <f t="shared" si="0"/>
        <v>-1191.3999999999996</v>
      </c>
    </row>
    <row r="27" spans="1:5" x14ac:dyDescent="0.25">
      <c r="A27" s="1">
        <v>42005</v>
      </c>
      <c r="B27">
        <v>13244.9</v>
      </c>
      <c r="C27">
        <v>12172.8</v>
      </c>
      <c r="D27" s="1">
        <v>42036</v>
      </c>
      <c r="E27">
        <f t="shared" si="0"/>
        <v>-1072.1000000000004</v>
      </c>
    </row>
    <row r="28" spans="1:5" x14ac:dyDescent="0.25">
      <c r="A28" s="1">
        <v>42036</v>
      </c>
      <c r="B28">
        <v>12172.8</v>
      </c>
      <c r="C28">
        <v>13634</v>
      </c>
      <c r="D28" s="1">
        <v>42064</v>
      </c>
      <c r="E28">
        <f t="shared" si="0"/>
        <v>1461.2000000000007</v>
      </c>
    </row>
    <row r="29" spans="1:5" x14ac:dyDescent="0.25">
      <c r="A29" s="1">
        <v>42064</v>
      </c>
      <c r="B29">
        <v>13634</v>
      </c>
      <c r="C29">
        <v>13104.6</v>
      </c>
      <c r="D29" s="1">
        <v>42095</v>
      </c>
      <c r="E29">
        <f t="shared" si="0"/>
        <v>-529.39999999999964</v>
      </c>
    </row>
    <row r="30" spans="1:5" x14ac:dyDescent="0.25">
      <c r="A30" s="1">
        <v>42095</v>
      </c>
      <c r="B30">
        <v>13104.6</v>
      </c>
      <c r="C30">
        <v>12754.7</v>
      </c>
      <c r="D30" s="1">
        <v>42125</v>
      </c>
      <c r="E30">
        <f t="shared" si="0"/>
        <v>-349.89999999999964</v>
      </c>
    </row>
    <row r="31" spans="1:5" x14ac:dyDescent="0.25">
      <c r="A31" s="1">
        <v>42125</v>
      </c>
      <c r="B31">
        <v>12754.7</v>
      </c>
      <c r="C31">
        <v>13514.1</v>
      </c>
      <c r="D31" s="1">
        <v>42156</v>
      </c>
      <c r="E31">
        <f t="shared" si="0"/>
        <v>759.39999999999964</v>
      </c>
    </row>
    <row r="32" spans="1:5" x14ac:dyDescent="0.25">
      <c r="A32" s="1">
        <v>42156</v>
      </c>
      <c r="B32">
        <v>13514.1</v>
      </c>
      <c r="C32">
        <v>11465.8</v>
      </c>
      <c r="D32" s="1">
        <v>42186</v>
      </c>
      <c r="E32">
        <f t="shared" si="0"/>
        <v>-2048.3000000000011</v>
      </c>
    </row>
    <row r="33" spans="1:5" x14ac:dyDescent="0.25">
      <c r="A33" s="1">
        <v>42186</v>
      </c>
      <c r="B33">
        <v>11465.8</v>
      </c>
      <c r="C33">
        <v>12726</v>
      </c>
      <c r="D33" s="1">
        <v>42217</v>
      </c>
      <c r="E33">
        <f t="shared" si="0"/>
        <v>1260.2000000000007</v>
      </c>
    </row>
    <row r="34" spans="1:5" x14ac:dyDescent="0.25">
      <c r="A34" s="1">
        <v>42217</v>
      </c>
      <c r="B34">
        <v>12726</v>
      </c>
      <c r="C34">
        <v>12588.4</v>
      </c>
      <c r="D34" s="1">
        <v>42248</v>
      </c>
      <c r="E34">
        <f t="shared" si="0"/>
        <v>-137.60000000000036</v>
      </c>
    </row>
    <row r="35" spans="1:5" x14ac:dyDescent="0.25">
      <c r="A35" s="1">
        <v>42248</v>
      </c>
      <c r="B35">
        <v>12588.4</v>
      </c>
      <c r="C35">
        <v>12121.7</v>
      </c>
      <c r="D35" s="1">
        <v>42278</v>
      </c>
      <c r="E35">
        <f t="shared" ref="E35:E66" si="1">C35-B35</f>
        <v>-466.69999999999891</v>
      </c>
    </row>
    <row r="36" spans="1:5" x14ac:dyDescent="0.25">
      <c r="A36" s="1">
        <v>42278</v>
      </c>
      <c r="B36">
        <v>12121.7</v>
      </c>
      <c r="C36">
        <v>11122.2</v>
      </c>
      <c r="D36" s="1">
        <v>42309</v>
      </c>
      <c r="E36">
        <f t="shared" si="1"/>
        <v>-999.5</v>
      </c>
    </row>
    <row r="37" spans="1:5" x14ac:dyDescent="0.25">
      <c r="A37" s="1">
        <v>42309</v>
      </c>
      <c r="B37">
        <v>11122.2</v>
      </c>
      <c r="C37">
        <v>11917.1</v>
      </c>
      <c r="D37" s="1">
        <v>42339</v>
      </c>
      <c r="E37">
        <f t="shared" si="1"/>
        <v>794.89999999999964</v>
      </c>
    </row>
    <row r="38" spans="1:5" x14ac:dyDescent="0.25">
      <c r="A38" s="1">
        <v>42339</v>
      </c>
      <c r="B38">
        <v>11917.1</v>
      </c>
      <c r="C38">
        <v>10581.9</v>
      </c>
      <c r="D38" s="1">
        <v>42370</v>
      </c>
      <c r="E38">
        <f t="shared" si="1"/>
        <v>-1335.2000000000007</v>
      </c>
    </row>
    <row r="39" spans="1:5" x14ac:dyDescent="0.25">
      <c r="A39" s="1">
        <v>42370</v>
      </c>
      <c r="B39">
        <v>10581.9</v>
      </c>
      <c r="C39">
        <v>11316.7</v>
      </c>
      <c r="D39" s="1">
        <v>42401</v>
      </c>
      <c r="E39">
        <f t="shared" si="1"/>
        <v>734.80000000000109</v>
      </c>
    </row>
    <row r="40" spans="1:5" x14ac:dyDescent="0.25">
      <c r="A40" s="1">
        <v>42401</v>
      </c>
      <c r="B40">
        <v>11316.7</v>
      </c>
      <c r="C40">
        <v>11812.1</v>
      </c>
      <c r="D40" s="1">
        <v>42430</v>
      </c>
      <c r="E40">
        <f t="shared" si="1"/>
        <v>495.39999999999964</v>
      </c>
    </row>
    <row r="41" spans="1:5" x14ac:dyDescent="0.25">
      <c r="A41" s="1">
        <v>42430</v>
      </c>
      <c r="B41">
        <v>11812.1</v>
      </c>
      <c r="C41">
        <v>11689.7</v>
      </c>
      <c r="D41" s="1">
        <v>42461</v>
      </c>
      <c r="E41">
        <f t="shared" si="1"/>
        <v>-122.39999999999964</v>
      </c>
    </row>
    <row r="42" spans="1:5" x14ac:dyDescent="0.25">
      <c r="A42" s="1">
        <v>42461</v>
      </c>
      <c r="B42">
        <v>11689.7</v>
      </c>
      <c r="C42">
        <v>11517.4</v>
      </c>
      <c r="D42" s="1">
        <v>42491</v>
      </c>
      <c r="E42">
        <f t="shared" si="1"/>
        <v>-172.30000000000109</v>
      </c>
    </row>
    <row r="43" spans="1:5" x14ac:dyDescent="0.25">
      <c r="A43" s="1">
        <v>42491</v>
      </c>
      <c r="B43">
        <v>11517.4</v>
      </c>
      <c r="C43">
        <v>13206.1</v>
      </c>
      <c r="D43" s="1">
        <v>42522</v>
      </c>
      <c r="E43">
        <f t="shared" si="1"/>
        <v>1688.7000000000007</v>
      </c>
    </row>
    <row r="44" spans="1:5" x14ac:dyDescent="0.25">
      <c r="A44" s="1">
        <v>42522</v>
      </c>
      <c r="B44">
        <v>13206.1</v>
      </c>
      <c r="C44">
        <v>9649.5</v>
      </c>
      <c r="D44" s="1">
        <v>42552</v>
      </c>
      <c r="E44">
        <f t="shared" si="1"/>
        <v>-3556.6000000000004</v>
      </c>
    </row>
    <row r="45" spans="1:5" x14ac:dyDescent="0.25">
      <c r="A45" s="1">
        <v>42552</v>
      </c>
      <c r="B45">
        <v>9649.5</v>
      </c>
      <c r="C45">
        <v>12701.7</v>
      </c>
      <c r="D45" s="1">
        <v>42583</v>
      </c>
      <c r="E45">
        <f t="shared" si="1"/>
        <v>3052.2000000000007</v>
      </c>
    </row>
    <row r="46" spans="1:5" x14ac:dyDescent="0.25">
      <c r="A46" s="1">
        <v>42583</v>
      </c>
      <c r="B46">
        <v>12701.7</v>
      </c>
      <c r="C46">
        <v>12579.8</v>
      </c>
      <c r="D46" s="1">
        <v>42614</v>
      </c>
      <c r="E46">
        <f t="shared" si="1"/>
        <v>-121.90000000000146</v>
      </c>
    </row>
    <row r="47" spans="1:5" x14ac:dyDescent="0.25">
      <c r="A47" s="1">
        <v>42614</v>
      </c>
      <c r="B47">
        <v>12579.8</v>
      </c>
      <c r="C47">
        <v>12743.7</v>
      </c>
      <c r="D47" s="1">
        <v>42644</v>
      </c>
      <c r="E47">
        <f t="shared" si="1"/>
        <v>163.90000000000146</v>
      </c>
    </row>
    <row r="48" spans="1:5" x14ac:dyDescent="0.25">
      <c r="A48" s="1">
        <v>42644</v>
      </c>
      <c r="B48">
        <v>12743.7</v>
      </c>
      <c r="C48">
        <v>13502.9</v>
      </c>
      <c r="D48" s="1">
        <v>42675</v>
      </c>
      <c r="E48">
        <f t="shared" si="1"/>
        <v>759.19999999999891</v>
      </c>
    </row>
    <row r="49" spans="1:5" x14ac:dyDescent="0.25">
      <c r="A49" s="1">
        <v>42675</v>
      </c>
      <c r="B49">
        <v>13502.9</v>
      </c>
      <c r="C49">
        <v>13832.4</v>
      </c>
      <c r="D49" s="1">
        <v>42705</v>
      </c>
      <c r="E49">
        <f t="shared" si="1"/>
        <v>329.5</v>
      </c>
    </row>
    <row r="50" spans="1:5" x14ac:dyDescent="0.25">
      <c r="A50" s="1">
        <v>42705</v>
      </c>
      <c r="B50">
        <v>13832.4</v>
      </c>
      <c r="C50">
        <v>13397.7</v>
      </c>
      <c r="D50" s="1">
        <v>42736</v>
      </c>
      <c r="E50">
        <f t="shared" si="1"/>
        <v>-434.69999999999891</v>
      </c>
    </row>
    <row r="51" spans="1:5" x14ac:dyDescent="0.25">
      <c r="A51" s="1">
        <v>42736</v>
      </c>
      <c r="B51">
        <v>13397.7</v>
      </c>
      <c r="C51">
        <v>12616</v>
      </c>
      <c r="D51" s="1">
        <v>42767</v>
      </c>
      <c r="E51">
        <f t="shared" si="1"/>
        <v>-781.70000000000073</v>
      </c>
    </row>
    <row r="52" spans="1:5" x14ac:dyDescent="0.25">
      <c r="A52" s="1">
        <v>42767</v>
      </c>
      <c r="B52">
        <v>12616</v>
      </c>
      <c r="C52">
        <v>14718.5</v>
      </c>
      <c r="D52" s="1">
        <v>42795</v>
      </c>
      <c r="E52">
        <f t="shared" si="1"/>
        <v>2102.5</v>
      </c>
    </row>
    <row r="53" spans="1:5" x14ac:dyDescent="0.25">
      <c r="A53" s="1">
        <v>42795</v>
      </c>
      <c r="B53">
        <v>14718.5</v>
      </c>
      <c r="C53">
        <v>13269.7</v>
      </c>
      <c r="D53" s="1">
        <v>42826</v>
      </c>
      <c r="E53">
        <f t="shared" si="1"/>
        <v>-1448.7999999999993</v>
      </c>
    </row>
    <row r="54" spans="1:5" x14ac:dyDescent="0.25">
      <c r="A54" s="1">
        <v>42826</v>
      </c>
      <c r="B54">
        <v>13269.7</v>
      </c>
      <c r="C54">
        <v>14333.9</v>
      </c>
      <c r="D54" s="1">
        <v>42856</v>
      </c>
      <c r="E54">
        <f t="shared" si="1"/>
        <v>1064.1999999999989</v>
      </c>
    </row>
    <row r="55" spans="1:5" x14ac:dyDescent="0.25">
      <c r="A55" s="1">
        <v>42856</v>
      </c>
      <c r="B55">
        <v>14333.9</v>
      </c>
      <c r="C55">
        <v>11661.4</v>
      </c>
      <c r="D55" s="1">
        <v>42887</v>
      </c>
      <c r="E55">
        <f t="shared" si="1"/>
        <v>-2672.5</v>
      </c>
    </row>
    <row r="56" spans="1:5" x14ac:dyDescent="0.25">
      <c r="A56" s="1">
        <v>42887</v>
      </c>
      <c r="B56">
        <v>11661.4</v>
      </c>
      <c r="C56">
        <v>13611.1</v>
      </c>
      <c r="D56" s="1">
        <v>42917</v>
      </c>
      <c r="E56">
        <f t="shared" si="1"/>
        <v>1949.7000000000007</v>
      </c>
    </row>
    <row r="57" spans="1:5" x14ac:dyDescent="0.25">
      <c r="A57" s="1">
        <v>42917</v>
      </c>
      <c r="B57">
        <v>13611.1</v>
      </c>
      <c r="C57">
        <v>15188</v>
      </c>
      <c r="D57" s="1">
        <v>42948</v>
      </c>
      <c r="E57">
        <f t="shared" si="1"/>
        <v>1576.8999999999996</v>
      </c>
    </row>
    <row r="58" spans="1:5" x14ac:dyDescent="0.25">
      <c r="A58" s="1">
        <v>42948</v>
      </c>
      <c r="B58">
        <v>15188</v>
      </c>
      <c r="C58">
        <v>14580.2</v>
      </c>
      <c r="D58" s="1">
        <v>42979</v>
      </c>
      <c r="E58">
        <f t="shared" si="1"/>
        <v>-607.79999999999927</v>
      </c>
    </row>
    <row r="59" spans="1:5" x14ac:dyDescent="0.25">
      <c r="A59" s="1">
        <v>42979</v>
      </c>
      <c r="B59">
        <v>14580.2</v>
      </c>
      <c r="C59">
        <v>15252.6</v>
      </c>
      <c r="D59" s="1">
        <v>43009</v>
      </c>
      <c r="E59">
        <f t="shared" si="1"/>
        <v>672.39999999999964</v>
      </c>
    </row>
    <row r="60" spans="1:5" x14ac:dyDescent="0.25">
      <c r="A60" s="1">
        <v>43009</v>
      </c>
      <c r="B60">
        <v>15252.6</v>
      </c>
      <c r="C60">
        <v>15334.7</v>
      </c>
      <c r="D60" s="1">
        <v>43040</v>
      </c>
      <c r="E60">
        <f t="shared" si="1"/>
        <v>82.100000000000364</v>
      </c>
    </row>
    <row r="61" spans="1:5" x14ac:dyDescent="0.25">
      <c r="A61" s="1">
        <v>43040</v>
      </c>
      <c r="B61">
        <v>15334.7</v>
      </c>
      <c r="C61">
        <v>14864.5</v>
      </c>
      <c r="D61" s="1">
        <v>43070</v>
      </c>
      <c r="E61">
        <f t="shared" si="1"/>
        <v>-470.20000000000073</v>
      </c>
    </row>
    <row r="62" spans="1:5" x14ac:dyDescent="0.25">
      <c r="A62" s="1">
        <v>43070</v>
      </c>
      <c r="B62">
        <v>14864.5</v>
      </c>
      <c r="C62">
        <v>14576.3</v>
      </c>
      <c r="D62" s="1">
        <v>43101</v>
      </c>
      <c r="E62">
        <f t="shared" si="1"/>
        <v>-288.20000000000073</v>
      </c>
    </row>
    <row r="63" spans="1:5" x14ac:dyDescent="0.25">
      <c r="A63" s="1">
        <v>43101</v>
      </c>
      <c r="B63">
        <v>14576.3</v>
      </c>
      <c r="C63">
        <v>14132.4</v>
      </c>
      <c r="D63" s="1">
        <v>43132</v>
      </c>
      <c r="E63">
        <f t="shared" si="1"/>
        <v>-443.89999999999964</v>
      </c>
    </row>
    <row r="64" spans="1:5" x14ac:dyDescent="0.25">
      <c r="A64" s="1">
        <v>43132</v>
      </c>
      <c r="B64">
        <v>14132.4</v>
      </c>
      <c r="C64">
        <v>15510.6</v>
      </c>
      <c r="D64" s="1">
        <v>43160</v>
      </c>
      <c r="E64">
        <f t="shared" si="1"/>
        <v>1378.2000000000007</v>
      </c>
    </row>
    <row r="65" spans="1:5" x14ac:dyDescent="0.25">
      <c r="A65" s="1">
        <v>43160</v>
      </c>
      <c r="B65">
        <v>15510.6</v>
      </c>
      <c r="C65">
        <v>14496.2</v>
      </c>
      <c r="D65" s="1">
        <v>43191</v>
      </c>
      <c r="E65">
        <f t="shared" si="1"/>
        <v>-1014.3999999999996</v>
      </c>
    </row>
    <row r="66" spans="1:5" x14ac:dyDescent="0.25">
      <c r="A66" s="1">
        <v>43191</v>
      </c>
      <c r="B66">
        <v>14496.2</v>
      </c>
      <c r="C66">
        <v>16198.3</v>
      </c>
      <c r="D66" s="1">
        <v>43221</v>
      </c>
      <c r="E66">
        <f t="shared" si="1"/>
        <v>1702.0999999999985</v>
      </c>
    </row>
    <row r="67" spans="1:5" x14ac:dyDescent="0.25">
      <c r="A67" s="1">
        <v>43221</v>
      </c>
      <c r="B67">
        <v>16198.3</v>
      </c>
      <c r="C67">
        <v>12941.7</v>
      </c>
      <c r="D67" s="1">
        <v>43252</v>
      </c>
      <c r="E67">
        <f t="shared" ref="E67:E98" si="2">C67-B67</f>
        <v>-3256.5999999999985</v>
      </c>
    </row>
    <row r="68" spans="1:5" x14ac:dyDescent="0.25">
      <c r="A68" s="1">
        <v>43252</v>
      </c>
      <c r="B68">
        <v>12941.7</v>
      </c>
      <c r="C68">
        <v>16284.7</v>
      </c>
      <c r="D68" s="1">
        <v>43282</v>
      </c>
      <c r="E68">
        <f t="shared" si="2"/>
        <v>3343</v>
      </c>
    </row>
    <row r="69" spans="1:5" x14ac:dyDescent="0.25">
      <c r="A69" s="1">
        <v>43282</v>
      </c>
      <c r="B69">
        <v>16284.7</v>
      </c>
      <c r="C69">
        <v>15865.1</v>
      </c>
      <c r="D69" s="1">
        <v>43313</v>
      </c>
      <c r="E69">
        <f t="shared" si="2"/>
        <v>-419.60000000000036</v>
      </c>
    </row>
    <row r="70" spans="1:5" x14ac:dyDescent="0.25">
      <c r="A70" s="1">
        <v>43313</v>
      </c>
      <c r="B70">
        <v>15865.1</v>
      </c>
      <c r="C70">
        <v>14956.3</v>
      </c>
      <c r="D70" s="1">
        <v>43344</v>
      </c>
      <c r="E70">
        <f t="shared" si="2"/>
        <v>-908.80000000000109</v>
      </c>
    </row>
    <row r="71" spans="1:5" x14ac:dyDescent="0.25">
      <c r="A71" s="1">
        <v>43344</v>
      </c>
      <c r="B71">
        <v>14956.3</v>
      </c>
      <c r="C71">
        <v>15909.1</v>
      </c>
      <c r="D71" s="1">
        <v>43374</v>
      </c>
      <c r="E71">
        <f t="shared" si="2"/>
        <v>952.80000000000109</v>
      </c>
    </row>
    <row r="72" spans="1:5" x14ac:dyDescent="0.25">
      <c r="A72" s="1">
        <v>43374</v>
      </c>
      <c r="B72">
        <v>15909.1</v>
      </c>
      <c r="C72">
        <v>14851.7</v>
      </c>
      <c r="D72" s="1">
        <v>43405</v>
      </c>
      <c r="E72">
        <f t="shared" si="2"/>
        <v>-1057.3999999999996</v>
      </c>
    </row>
    <row r="73" spans="1:5" x14ac:dyDescent="0.25">
      <c r="A73" s="1">
        <v>43405</v>
      </c>
      <c r="B73">
        <v>14851.7</v>
      </c>
      <c r="C73">
        <v>14290.1</v>
      </c>
      <c r="D73" s="1">
        <v>43435</v>
      </c>
      <c r="E73">
        <f t="shared" si="2"/>
        <v>-561.60000000000036</v>
      </c>
    </row>
    <row r="74" spans="1:5" x14ac:dyDescent="0.25">
      <c r="A74" s="1">
        <v>43435</v>
      </c>
      <c r="B74">
        <v>14290.1</v>
      </c>
      <c r="C74">
        <v>14028.1</v>
      </c>
      <c r="D74" s="1">
        <v>43466</v>
      </c>
      <c r="E74">
        <f t="shared" si="2"/>
        <v>-262</v>
      </c>
    </row>
    <row r="75" spans="1:5" x14ac:dyDescent="0.25">
      <c r="A75" s="1">
        <v>43466</v>
      </c>
      <c r="B75">
        <v>14028.1</v>
      </c>
      <c r="C75">
        <v>12788.6</v>
      </c>
      <c r="D75" s="1">
        <v>43497</v>
      </c>
      <c r="E75">
        <f t="shared" si="2"/>
        <v>-1239.5</v>
      </c>
    </row>
    <row r="76" spans="1:5" x14ac:dyDescent="0.25">
      <c r="A76" s="1">
        <v>43497</v>
      </c>
      <c r="B76">
        <v>12788.6</v>
      </c>
      <c r="C76">
        <v>14447.8</v>
      </c>
      <c r="D76" s="1">
        <v>43525</v>
      </c>
      <c r="E76">
        <f t="shared" si="2"/>
        <v>1659.1999999999989</v>
      </c>
    </row>
    <row r="77" spans="1:5" x14ac:dyDescent="0.25">
      <c r="A77" s="1">
        <v>43525</v>
      </c>
      <c r="B77">
        <v>14447.8</v>
      </c>
      <c r="C77">
        <v>13068.1</v>
      </c>
      <c r="D77" s="1">
        <v>43556</v>
      </c>
      <c r="E77">
        <f t="shared" si="2"/>
        <v>-1379.6999999999989</v>
      </c>
    </row>
    <row r="78" spans="1:5" x14ac:dyDescent="0.25">
      <c r="A78" s="1">
        <v>43556</v>
      </c>
      <c r="B78">
        <v>13068.1</v>
      </c>
      <c r="C78">
        <v>14751.9</v>
      </c>
      <c r="D78" s="1">
        <v>43586</v>
      </c>
      <c r="E78">
        <f t="shared" si="2"/>
        <v>1683.7999999999993</v>
      </c>
    </row>
    <row r="79" spans="1:5" x14ac:dyDescent="0.25">
      <c r="A79" s="1">
        <v>43586</v>
      </c>
      <c r="B79">
        <v>14751.9</v>
      </c>
      <c r="C79">
        <v>11763.4</v>
      </c>
      <c r="D79" s="1">
        <v>43617</v>
      </c>
      <c r="E79">
        <f t="shared" si="2"/>
        <v>-2988.5</v>
      </c>
    </row>
    <row r="80" spans="1:5" x14ac:dyDescent="0.25">
      <c r="A80" s="1">
        <v>43617</v>
      </c>
      <c r="B80">
        <v>11763.4</v>
      </c>
      <c r="C80">
        <v>15238.4</v>
      </c>
      <c r="D80" s="1">
        <v>43647</v>
      </c>
      <c r="E80">
        <f t="shared" si="2"/>
        <v>3475</v>
      </c>
    </row>
    <row r="81" spans="1:5" x14ac:dyDescent="0.25">
      <c r="A81" s="1">
        <v>43647</v>
      </c>
      <c r="B81">
        <v>15238.4</v>
      </c>
      <c r="C81">
        <v>14262</v>
      </c>
      <c r="D81" s="1">
        <v>43678</v>
      </c>
      <c r="E81">
        <f t="shared" si="2"/>
        <v>-976.39999999999964</v>
      </c>
    </row>
    <row r="82" spans="1:5" x14ac:dyDescent="0.25">
      <c r="A82" s="1">
        <v>43678</v>
      </c>
      <c r="B82">
        <v>14262</v>
      </c>
      <c r="C82">
        <v>14080.1</v>
      </c>
      <c r="D82" s="1">
        <v>43709</v>
      </c>
      <c r="E82">
        <f t="shared" si="2"/>
        <v>-181.89999999999964</v>
      </c>
    </row>
    <row r="83" spans="1:5" x14ac:dyDescent="0.25">
      <c r="A83" s="1">
        <v>43709</v>
      </c>
      <c r="B83">
        <v>14080.1</v>
      </c>
      <c r="C83">
        <v>14881.5</v>
      </c>
      <c r="D83" s="1">
        <v>43739</v>
      </c>
      <c r="E83">
        <f t="shared" si="2"/>
        <v>801.39999999999964</v>
      </c>
    </row>
    <row r="84" spans="1:5" x14ac:dyDescent="0.25">
      <c r="A84" s="1">
        <v>43739</v>
      </c>
      <c r="B84">
        <v>14881.5</v>
      </c>
      <c r="C84">
        <v>13944.5</v>
      </c>
      <c r="D84" s="1">
        <v>43770</v>
      </c>
      <c r="E84">
        <f t="shared" si="2"/>
        <v>-937</v>
      </c>
    </row>
    <row r="85" spans="1:5" x14ac:dyDescent="0.25">
      <c r="A85" s="1">
        <v>43770</v>
      </c>
      <c r="B85">
        <v>13944.5</v>
      </c>
      <c r="C85">
        <v>14428.8</v>
      </c>
      <c r="D85" s="1">
        <v>43800</v>
      </c>
      <c r="E85">
        <f t="shared" si="2"/>
        <v>484.29999999999927</v>
      </c>
    </row>
    <row r="86" spans="1:5" x14ac:dyDescent="0.25">
      <c r="A86" s="1">
        <v>43800</v>
      </c>
      <c r="B86">
        <v>14428.8</v>
      </c>
      <c r="C86">
        <v>14028.1</v>
      </c>
      <c r="D86" s="1">
        <v>43831</v>
      </c>
      <c r="E86">
        <f t="shared" si="2"/>
        <v>-400.69999999999891</v>
      </c>
    </row>
    <row r="87" spans="1:5" x14ac:dyDescent="0.25">
      <c r="A87" s="1">
        <v>43831</v>
      </c>
      <c r="B87">
        <v>14028.1</v>
      </c>
      <c r="C87">
        <v>12788.6</v>
      </c>
      <c r="D87" s="1">
        <v>43862</v>
      </c>
      <c r="E87">
        <f t="shared" si="2"/>
        <v>-1239.5</v>
      </c>
    </row>
    <row r="88" spans="1:5" x14ac:dyDescent="0.25">
      <c r="A88" s="1">
        <v>43862</v>
      </c>
      <c r="B88">
        <v>12788.6</v>
      </c>
      <c r="C88">
        <v>14447.8</v>
      </c>
      <c r="D88" s="1">
        <v>43891</v>
      </c>
      <c r="E88">
        <f t="shared" si="2"/>
        <v>1659.1999999999989</v>
      </c>
    </row>
    <row r="89" spans="1:5" x14ac:dyDescent="0.25">
      <c r="A89" s="1">
        <v>43891</v>
      </c>
      <c r="B89">
        <v>14447.8</v>
      </c>
      <c r="C89">
        <v>13068.1</v>
      </c>
      <c r="D89" s="1">
        <v>43922</v>
      </c>
      <c r="E89">
        <f t="shared" si="2"/>
        <v>-1379.6999999999989</v>
      </c>
    </row>
    <row r="90" spans="1:5" x14ac:dyDescent="0.25">
      <c r="A90" s="1">
        <v>43922</v>
      </c>
      <c r="B90">
        <v>13068.1</v>
      </c>
      <c r="C90">
        <v>14751.9</v>
      </c>
      <c r="D90" s="1">
        <v>43952</v>
      </c>
      <c r="E90">
        <f t="shared" si="2"/>
        <v>1683.7999999999993</v>
      </c>
    </row>
    <row r="91" spans="1:5" x14ac:dyDescent="0.25">
      <c r="A91" s="1">
        <v>43952</v>
      </c>
      <c r="B91">
        <v>14751.9</v>
      </c>
      <c r="C91">
        <v>11763.4</v>
      </c>
      <c r="D91" s="1">
        <v>43983</v>
      </c>
      <c r="E91">
        <f t="shared" si="2"/>
        <v>-2988.5</v>
      </c>
    </row>
    <row r="92" spans="1:5" x14ac:dyDescent="0.25">
      <c r="A92" s="1">
        <v>43983</v>
      </c>
      <c r="B92">
        <v>11763.4</v>
      </c>
      <c r="C92">
        <v>15238.4</v>
      </c>
      <c r="D92" s="1">
        <v>44013</v>
      </c>
      <c r="E92">
        <f t="shared" si="2"/>
        <v>3475</v>
      </c>
    </row>
    <row r="93" spans="1:5" x14ac:dyDescent="0.25">
      <c r="A93" s="1">
        <v>44013</v>
      </c>
      <c r="B93">
        <v>15238.4</v>
      </c>
      <c r="C93">
        <v>14262</v>
      </c>
      <c r="D93" s="1">
        <v>44044</v>
      </c>
      <c r="E93">
        <f t="shared" si="2"/>
        <v>-976.39999999999964</v>
      </c>
    </row>
    <row r="94" spans="1:5" x14ac:dyDescent="0.25">
      <c r="A94" s="1">
        <v>44044</v>
      </c>
      <c r="B94">
        <v>14262</v>
      </c>
      <c r="C94">
        <v>14080.1</v>
      </c>
      <c r="D94" s="1">
        <v>44075</v>
      </c>
      <c r="E94">
        <f t="shared" si="2"/>
        <v>-181.89999999999964</v>
      </c>
    </row>
    <row r="95" spans="1:5" x14ac:dyDescent="0.25">
      <c r="A95" s="1">
        <v>44075</v>
      </c>
      <c r="B95">
        <v>14080.1</v>
      </c>
      <c r="C95">
        <v>14881.5</v>
      </c>
      <c r="D95" s="1">
        <v>44105</v>
      </c>
      <c r="E95">
        <f t="shared" si="2"/>
        <v>801.39999999999964</v>
      </c>
    </row>
    <row r="96" spans="1:5" x14ac:dyDescent="0.25">
      <c r="A96" s="1">
        <v>44105</v>
      </c>
      <c r="B96">
        <v>14881.5</v>
      </c>
      <c r="C96">
        <v>13944.5</v>
      </c>
      <c r="D96" s="1">
        <v>44136</v>
      </c>
      <c r="E96">
        <f t="shared" si="2"/>
        <v>-937</v>
      </c>
    </row>
    <row r="97" spans="1:5" x14ac:dyDescent="0.25">
      <c r="A97" s="1">
        <v>44136</v>
      </c>
      <c r="B97">
        <v>13944.5</v>
      </c>
      <c r="C97">
        <v>14428.8</v>
      </c>
      <c r="D97" s="1">
        <v>44166</v>
      </c>
      <c r="E97">
        <f t="shared" si="2"/>
        <v>484.29999999999927</v>
      </c>
    </row>
    <row r="98" spans="1:5" x14ac:dyDescent="0.25">
      <c r="A98" s="1">
        <v>44166</v>
      </c>
      <c r="B98">
        <v>14428.8</v>
      </c>
      <c r="C98">
        <v>13636.4</v>
      </c>
      <c r="D98" s="1">
        <v>44197</v>
      </c>
      <c r="E98">
        <f t="shared" si="2"/>
        <v>-792.39999999999964</v>
      </c>
    </row>
    <row r="99" spans="1:5" x14ac:dyDescent="0.25">
      <c r="A99" s="1">
        <v>44197</v>
      </c>
      <c r="B99">
        <v>13636.4</v>
      </c>
      <c r="C99">
        <v>14042.1</v>
      </c>
      <c r="D99" s="1">
        <v>44228</v>
      </c>
      <c r="E99">
        <f t="shared" ref="E99:E133" si="3">C99-B99</f>
        <v>405.70000000000073</v>
      </c>
    </row>
    <row r="100" spans="1:5" x14ac:dyDescent="0.25">
      <c r="A100" s="1">
        <v>44228</v>
      </c>
      <c r="B100">
        <v>14042.1</v>
      </c>
      <c r="C100">
        <v>14031.3</v>
      </c>
      <c r="D100" s="1">
        <v>44256</v>
      </c>
      <c r="E100">
        <f t="shared" si="3"/>
        <v>-10.800000000001091</v>
      </c>
    </row>
    <row r="101" spans="1:5" x14ac:dyDescent="0.25">
      <c r="A101" s="1">
        <v>44256</v>
      </c>
      <c r="B101">
        <v>14031.3</v>
      </c>
      <c r="C101">
        <v>12159.8</v>
      </c>
      <c r="D101" s="1">
        <v>44287</v>
      </c>
      <c r="E101">
        <f t="shared" si="3"/>
        <v>-1871.5</v>
      </c>
    </row>
    <row r="102" spans="1:5" x14ac:dyDescent="0.25">
      <c r="A102" s="1">
        <v>44287</v>
      </c>
      <c r="B102">
        <v>12159.8</v>
      </c>
      <c r="C102">
        <v>10452.6</v>
      </c>
      <c r="D102" s="1">
        <v>44317</v>
      </c>
      <c r="E102">
        <f t="shared" si="3"/>
        <v>-1707.1999999999989</v>
      </c>
    </row>
    <row r="103" spans="1:5" x14ac:dyDescent="0.25">
      <c r="A103" s="1">
        <v>44317</v>
      </c>
      <c r="B103">
        <v>10452.6</v>
      </c>
      <c r="C103">
        <v>12006.8</v>
      </c>
      <c r="D103" s="1">
        <v>44348</v>
      </c>
      <c r="E103">
        <f t="shared" si="3"/>
        <v>1554.1999999999989</v>
      </c>
    </row>
    <row r="104" spans="1:5" x14ac:dyDescent="0.25">
      <c r="A104" s="1">
        <v>44348</v>
      </c>
      <c r="B104">
        <v>12006.8</v>
      </c>
      <c r="C104">
        <v>13689.9</v>
      </c>
      <c r="D104" s="1">
        <v>44378</v>
      </c>
      <c r="E104">
        <f t="shared" si="3"/>
        <v>1683.1000000000004</v>
      </c>
    </row>
    <row r="105" spans="1:5" x14ac:dyDescent="0.25">
      <c r="A105" s="1">
        <v>44378</v>
      </c>
      <c r="B105">
        <v>13689.9</v>
      </c>
      <c r="C105">
        <v>13055.3</v>
      </c>
      <c r="D105" s="1">
        <v>44409</v>
      </c>
      <c r="E105">
        <f t="shared" si="3"/>
        <v>-634.60000000000036</v>
      </c>
    </row>
    <row r="106" spans="1:5" x14ac:dyDescent="0.25">
      <c r="A106" s="1">
        <v>44409</v>
      </c>
      <c r="B106">
        <v>13055.3</v>
      </c>
      <c r="C106">
        <v>13956.2</v>
      </c>
      <c r="D106" s="1">
        <v>44440</v>
      </c>
      <c r="E106">
        <f t="shared" si="3"/>
        <v>900.90000000000146</v>
      </c>
    </row>
    <row r="107" spans="1:5" x14ac:dyDescent="0.25">
      <c r="A107" s="1">
        <v>44440</v>
      </c>
      <c r="B107">
        <v>13956.2</v>
      </c>
      <c r="C107">
        <v>14363.4</v>
      </c>
      <c r="D107" s="1">
        <v>44470</v>
      </c>
      <c r="E107">
        <f t="shared" si="3"/>
        <v>407.19999999999891</v>
      </c>
    </row>
    <row r="108" spans="1:5" x14ac:dyDescent="0.25">
      <c r="A108" s="1">
        <v>44470</v>
      </c>
      <c r="B108">
        <v>14363.4</v>
      </c>
      <c r="C108">
        <v>15258.4</v>
      </c>
      <c r="D108" s="1">
        <v>44501</v>
      </c>
      <c r="E108">
        <f t="shared" si="3"/>
        <v>895</v>
      </c>
    </row>
    <row r="109" spans="1:5" x14ac:dyDescent="0.25">
      <c r="A109" s="1">
        <v>44501</v>
      </c>
      <c r="B109">
        <v>15258.4</v>
      </c>
      <c r="C109">
        <v>16539.599999999999</v>
      </c>
      <c r="D109" s="1">
        <v>44531</v>
      </c>
      <c r="E109">
        <f t="shared" si="3"/>
        <v>1281.1999999999989</v>
      </c>
    </row>
    <row r="110" spans="1:5" x14ac:dyDescent="0.25">
      <c r="A110" s="1">
        <v>44531</v>
      </c>
      <c r="B110">
        <v>16539.599999999999</v>
      </c>
      <c r="C110">
        <v>15300.2</v>
      </c>
      <c r="D110" s="1">
        <v>44562</v>
      </c>
      <c r="E110">
        <f t="shared" si="3"/>
        <v>-1239.3999999999978</v>
      </c>
    </row>
    <row r="111" spans="1:5" x14ac:dyDescent="0.25">
      <c r="A111" s="1">
        <v>44562</v>
      </c>
      <c r="B111">
        <v>15300.2</v>
      </c>
      <c r="C111">
        <v>15255.4</v>
      </c>
      <c r="D111" s="1">
        <v>44593</v>
      </c>
      <c r="E111">
        <f t="shared" si="3"/>
        <v>-44.800000000001091</v>
      </c>
    </row>
    <row r="112" spans="1:5" x14ac:dyDescent="0.25">
      <c r="A112" s="1">
        <v>44593</v>
      </c>
      <c r="B112">
        <v>15255.4</v>
      </c>
      <c r="C112">
        <v>18398.400000000001</v>
      </c>
      <c r="D112" s="1">
        <v>44621</v>
      </c>
      <c r="E112">
        <f t="shared" si="3"/>
        <v>3143.0000000000018</v>
      </c>
    </row>
    <row r="113" spans="1:5" x14ac:dyDescent="0.25">
      <c r="A113" s="1">
        <v>44621</v>
      </c>
      <c r="B113">
        <v>18398.400000000001</v>
      </c>
      <c r="C113">
        <v>18474.099999999999</v>
      </c>
      <c r="D113" s="1">
        <v>44652</v>
      </c>
      <c r="E113">
        <f t="shared" si="3"/>
        <v>75.69999999999709</v>
      </c>
    </row>
    <row r="114" spans="1:5" x14ac:dyDescent="0.25">
      <c r="A114" s="1">
        <v>44652</v>
      </c>
      <c r="B114">
        <v>18474.099999999999</v>
      </c>
      <c r="C114">
        <v>16908</v>
      </c>
      <c r="D114" s="1">
        <v>44682</v>
      </c>
      <c r="E114">
        <f t="shared" si="3"/>
        <v>-1566.0999999999985</v>
      </c>
    </row>
    <row r="115" spans="1:5" x14ac:dyDescent="0.25">
      <c r="A115" s="1">
        <v>44682</v>
      </c>
      <c r="B115">
        <v>16908</v>
      </c>
      <c r="C115">
        <v>18547.8</v>
      </c>
      <c r="D115" s="1">
        <v>44713</v>
      </c>
      <c r="E115">
        <f t="shared" si="3"/>
        <v>1639.7999999999993</v>
      </c>
    </row>
    <row r="116" spans="1:5" x14ac:dyDescent="0.25">
      <c r="A116" s="1">
        <v>44713</v>
      </c>
      <c r="B116">
        <v>18547.8</v>
      </c>
      <c r="C116">
        <v>19369.599999999999</v>
      </c>
      <c r="D116" s="1">
        <v>44743</v>
      </c>
      <c r="E116">
        <f t="shared" si="3"/>
        <v>821.79999999999927</v>
      </c>
    </row>
    <row r="117" spans="1:5" x14ac:dyDescent="0.25">
      <c r="A117" s="1">
        <v>44743</v>
      </c>
      <c r="B117">
        <v>19369.599999999999</v>
      </c>
      <c r="C117">
        <v>21443.200000000001</v>
      </c>
      <c r="D117" s="1">
        <v>44774</v>
      </c>
      <c r="E117">
        <f t="shared" si="3"/>
        <v>2073.6000000000022</v>
      </c>
    </row>
    <row r="118" spans="1:5" x14ac:dyDescent="0.25">
      <c r="A118" s="1">
        <v>44774</v>
      </c>
      <c r="B118">
        <v>21443.200000000001</v>
      </c>
      <c r="C118">
        <v>20618.8</v>
      </c>
      <c r="D118" s="1">
        <v>44805</v>
      </c>
      <c r="E118">
        <f t="shared" si="3"/>
        <v>-824.40000000000146</v>
      </c>
    </row>
    <row r="119" spans="1:5" x14ac:dyDescent="0.25">
      <c r="A119" s="1">
        <v>44805</v>
      </c>
      <c r="B119">
        <v>20618.8</v>
      </c>
      <c r="C119">
        <v>22091</v>
      </c>
      <c r="D119" s="1">
        <v>44835</v>
      </c>
      <c r="E119">
        <f t="shared" si="3"/>
        <v>1472.2000000000007</v>
      </c>
    </row>
    <row r="120" spans="1:5" x14ac:dyDescent="0.25">
      <c r="A120" s="1">
        <v>44835</v>
      </c>
      <c r="B120">
        <v>22091</v>
      </c>
      <c r="C120">
        <v>22845.4</v>
      </c>
      <c r="D120" s="1">
        <v>44866</v>
      </c>
      <c r="E120">
        <f t="shared" si="3"/>
        <v>754.40000000000146</v>
      </c>
    </row>
    <row r="121" spans="1:5" x14ac:dyDescent="0.25">
      <c r="A121" s="1">
        <v>44866</v>
      </c>
      <c r="B121">
        <v>22845.4</v>
      </c>
      <c r="C121">
        <v>22357.7</v>
      </c>
      <c r="D121" s="1">
        <v>44896</v>
      </c>
      <c r="E121">
        <f t="shared" si="3"/>
        <v>-487.70000000000073</v>
      </c>
    </row>
    <row r="122" spans="1:5" x14ac:dyDescent="0.25">
      <c r="A122" s="1">
        <v>44896</v>
      </c>
      <c r="B122">
        <v>22357.7</v>
      </c>
      <c r="C122">
        <v>22320.7</v>
      </c>
      <c r="D122" s="1">
        <v>44927</v>
      </c>
      <c r="E122">
        <f t="shared" si="3"/>
        <v>-37</v>
      </c>
    </row>
    <row r="123" spans="1:5" x14ac:dyDescent="0.25">
      <c r="A123" s="1">
        <v>44927</v>
      </c>
      <c r="B123">
        <v>22320.7</v>
      </c>
      <c r="C123">
        <v>21319.7</v>
      </c>
      <c r="D123" s="1">
        <v>44958</v>
      </c>
      <c r="E123">
        <f t="shared" si="3"/>
        <v>-1001</v>
      </c>
    </row>
    <row r="124" spans="1:5" x14ac:dyDescent="0.25">
      <c r="A124" s="1">
        <v>44958</v>
      </c>
      <c r="B124">
        <v>21319.7</v>
      </c>
      <c r="C124">
        <v>23413.9</v>
      </c>
      <c r="D124" s="1">
        <v>44986</v>
      </c>
      <c r="E124">
        <f t="shared" si="3"/>
        <v>2094.2000000000007</v>
      </c>
    </row>
    <row r="125" spans="1:5" x14ac:dyDescent="0.25">
      <c r="A125" s="1">
        <v>44986</v>
      </c>
      <c r="B125">
        <v>23413.9</v>
      </c>
      <c r="C125">
        <v>19280.400000000001</v>
      </c>
      <c r="D125" s="1">
        <v>45017</v>
      </c>
      <c r="E125">
        <f t="shared" si="3"/>
        <v>-4133.5</v>
      </c>
    </row>
    <row r="126" spans="1:5" x14ac:dyDescent="0.25">
      <c r="A126" s="1">
        <v>45017</v>
      </c>
      <c r="B126">
        <v>19280.400000000001</v>
      </c>
      <c r="C126">
        <v>21706.5</v>
      </c>
      <c r="D126" s="1">
        <v>45047</v>
      </c>
      <c r="E126">
        <f t="shared" si="3"/>
        <v>2426.0999999999985</v>
      </c>
    </row>
    <row r="127" spans="1:5" x14ac:dyDescent="0.25">
      <c r="A127" s="1">
        <v>45047</v>
      </c>
      <c r="B127">
        <v>21706.5</v>
      </c>
      <c r="C127">
        <v>20599</v>
      </c>
      <c r="D127" s="1">
        <v>45078</v>
      </c>
      <c r="E127">
        <f t="shared" si="3"/>
        <v>-1107.5</v>
      </c>
    </row>
    <row r="128" spans="1:5" x14ac:dyDescent="0.25">
      <c r="A128" s="1">
        <v>45078</v>
      </c>
      <c r="B128">
        <v>20599</v>
      </c>
      <c r="C128">
        <v>20861.3</v>
      </c>
      <c r="D128" s="1">
        <v>45108</v>
      </c>
      <c r="E128">
        <f t="shared" si="3"/>
        <v>262.29999999999927</v>
      </c>
    </row>
    <row r="129" spans="1:5" x14ac:dyDescent="0.25">
      <c r="A129" s="1">
        <v>45108</v>
      </c>
      <c r="B129">
        <v>20861.3</v>
      </c>
      <c r="C129">
        <v>21996.3</v>
      </c>
      <c r="D129" s="1">
        <v>45139</v>
      </c>
      <c r="E129">
        <f t="shared" si="3"/>
        <v>1135</v>
      </c>
    </row>
    <row r="130" spans="1:5" x14ac:dyDescent="0.25">
      <c r="A130" s="1">
        <v>45139</v>
      </c>
      <c r="B130">
        <v>21996.3</v>
      </c>
      <c r="C130">
        <v>20744.900000000001</v>
      </c>
      <c r="D130" s="1">
        <v>45170</v>
      </c>
      <c r="E130">
        <f t="shared" si="3"/>
        <v>-1251.3999999999978</v>
      </c>
    </row>
    <row r="131" spans="1:5" x14ac:dyDescent="0.25">
      <c r="A131" s="1">
        <v>45170</v>
      </c>
      <c r="B131">
        <v>20744.900000000001</v>
      </c>
      <c r="C131">
        <v>22144.5</v>
      </c>
      <c r="D131" s="1">
        <v>45200</v>
      </c>
      <c r="E131">
        <f t="shared" si="3"/>
        <v>1399.5999999999985</v>
      </c>
    </row>
    <row r="132" spans="1:5" x14ac:dyDescent="0.25">
      <c r="A132" s="1">
        <v>45200</v>
      </c>
      <c r="B132">
        <v>22144.5</v>
      </c>
      <c r="C132">
        <v>21995.9</v>
      </c>
      <c r="D132" s="1">
        <v>45231</v>
      </c>
      <c r="E132">
        <f t="shared" si="3"/>
        <v>-148.59999999999854</v>
      </c>
    </row>
    <row r="133" spans="1:5" x14ac:dyDescent="0.25">
      <c r="A133" s="1">
        <v>45231</v>
      </c>
      <c r="B133">
        <v>21995.9</v>
      </c>
      <c r="C133">
        <v>22391.200000000001</v>
      </c>
      <c r="D133" s="1">
        <v>45261</v>
      </c>
      <c r="E133">
        <f t="shared" si="3"/>
        <v>395.29999999999927</v>
      </c>
    </row>
    <row r="134" spans="1:5" x14ac:dyDescent="0.25">
      <c r="A134" s="1">
        <v>45261</v>
      </c>
      <c r="B134">
        <v>22391.200000000001</v>
      </c>
      <c r="D134" s="1">
        <v>45261</v>
      </c>
      <c r="E13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3"/>
  <sheetViews>
    <sheetView workbookViewId="0">
      <selection sqref="A1:B133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17</v>
      </c>
      <c r="D1" t="s">
        <v>18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</row>
    <row r="2" spans="1:16" x14ac:dyDescent="0.25">
      <c r="A2" s="1">
        <v>41275</v>
      </c>
      <c r="B2">
        <v>15375.5</v>
      </c>
      <c r="C2" t="e">
        <f t="shared" ref="C2:C43" si="0">C1+1</f>
        <v>#VALUE!</v>
      </c>
      <c r="D2">
        <v>99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 t="s">
        <v>16</v>
      </c>
    </row>
    <row r="3" spans="1:16" x14ac:dyDescent="0.25">
      <c r="A3" s="1">
        <v>41306</v>
      </c>
      <c r="B3">
        <v>15015.6</v>
      </c>
      <c r="C3" t="e">
        <f t="shared" si="0"/>
        <v>#VALUE!</v>
      </c>
      <c r="D3">
        <v>85</v>
      </c>
    </row>
    <row r="4" spans="1:16" x14ac:dyDescent="0.25">
      <c r="A4" s="1">
        <v>41334</v>
      </c>
      <c r="B4">
        <v>15024.6</v>
      </c>
      <c r="C4" t="e">
        <f t="shared" si="0"/>
        <v>#VALUE!</v>
      </c>
      <c r="D4">
        <v>86</v>
      </c>
    </row>
    <row r="5" spans="1:16" x14ac:dyDescent="0.25">
      <c r="A5" s="1">
        <v>41365</v>
      </c>
      <c r="B5">
        <v>14760.9</v>
      </c>
      <c r="C5" t="e">
        <f t="shared" si="0"/>
        <v>#VALUE!</v>
      </c>
      <c r="D5">
        <v>78</v>
      </c>
      <c r="I5" t="s">
        <v>30</v>
      </c>
    </row>
    <row r="6" spans="1:16" x14ac:dyDescent="0.25">
      <c r="A6" s="1">
        <v>41395</v>
      </c>
      <c r="B6">
        <v>16133.4</v>
      </c>
      <c r="C6" t="e">
        <f t="shared" si="0"/>
        <v>#VALUE!</v>
      </c>
      <c r="D6">
        <v>106</v>
      </c>
      <c r="I6">
        <f>(I7*J7)-K7</f>
        <v>95.389069264069349</v>
      </c>
    </row>
    <row r="7" spans="1:16" x14ac:dyDescent="0.25">
      <c r="A7" s="1">
        <v>41426</v>
      </c>
      <c r="B7">
        <v>14758.8</v>
      </c>
      <c r="C7" t="e">
        <f t="shared" si="0"/>
        <v>#VALUE!</v>
      </c>
      <c r="D7">
        <v>77</v>
      </c>
      <c r="F7" t="s">
        <v>19</v>
      </c>
      <c r="G7">
        <f>SUM(D2:D13)</f>
        <v>1040</v>
      </c>
      <c r="I7">
        <f>(12/(132*133))</f>
        <v>6.8352699931647305E-4</v>
      </c>
      <c r="J7">
        <f>(G7^2/12)+(G8^2/12)+(G9^2/12)+(G10^2/12)+(G11^2/12)+(G12^2/12)+(G13^2/12)+(G14^2/12)+(G15^2/12)+(G16^2/12)+(G17^2/12)</f>
        <v>723291.20833333337</v>
      </c>
      <c r="K7">
        <f>3*(133)</f>
        <v>399</v>
      </c>
    </row>
    <row r="8" spans="1:16" x14ac:dyDescent="0.25">
      <c r="A8" s="1">
        <v>41456</v>
      </c>
      <c r="B8">
        <v>15087.9</v>
      </c>
      <c r="C8" t="e">
        <f t="shared" si="0"/>
        <v>#VALUE!</v>
      </c>
      <c r="D8">
        <v>87</v>
      </c>
      <c r="F8" t="s">
        <v>20</v>
      </c>
      <c r="G8">
        <f>SUM(D14:D25)</f>
        <v>882</v>
      </c>
    </row>
    <row r="9" spans="1:16" x14ac:dyDescent="0.25">
      <c r="A9" s="1">
        <v>41487</v>
      </c>
      <c r="B9">
        <v>13083.7</v>
      </c>
      <c r="C9" t="e">
        <f t="shared" si="0"/>
        <v>#VALUE!</v>
      </c>
      <c r="D9">
        <v>31</v>
      </c>
      <c r="F9" t="s">
        <v>21</v>
      </c>
      <c r="G9">
        <f>SUM(D26:D37)</f>
        <v>265</v>
      </c>
    </row>
    <row r="10" spans="1:16" x14ac:dyDescent="0.25">
      <c r="A10" s="1">
        <v>41518</v>
      </c>
      <c r="B10">
        <v>14706.8</v>
      </c>
      <c r="C10" t="e">
        <f t="shared" si="0"/>
        <v>#VALUE!</v>
      </c>
      <c r="D10">
        <v>73</v>
      </c>
      <c r="F10" t="s">
        <v>22</v>
      </c>
      <c r="G10">
        <f>SUM(D38:D49)</f>
        <v>213</v>
      </c>
      <c r="I10" t="s">
        <v>31</v>
      </c>
      <c r="J10">
        <f>12-1</f>
        <v>11</v>
      </c>
    </row>
    <row r="11" spans="1:16" x14ac:dyDescent="0.25">
      <c r="A11" s="1">
        <v>41548</v>
      </c>
      <c r="B11">
        <v>15698.3</v>
      </c>
      <c r="C11" t="e">
        <f t="shared" si="0"/>
        <v>#VALUE!</v>
      </c>
      <c r="D11">
        <v>102</v>
      </c>
      <c r="F11" t="s">
        <v>23</v>
      </c>
      <c r="G11">
        <f>SUM(D50:D61)</f>
        <v>703</v>
      </c>
      <c r="I11" t="s">
        <v>32</v>
      </c>
      <c r="K11">
        <v>19.675000000000001</v>
      </c>
    </row>
    <row r="12" spans="1:16" x14ac:dyDescent="0.25">
      <c r="A12" s="1">
        <v>41579</v>
      </c>
      <c r="B12">
        <v>15938.6</v>
      </c>
      <c r="C12" t="e">
        <f t="shared" si="0"/>
        <v>#VALUE!</v>
      </c>
      <c r="D12">
        <v>105</v>
      </c>
      <c r="F12" t="s">
        <v>24</v>
      </c>
      <c r="G12">
        <f>SUM(D62:D73)</f>
        <v>966</v>
      </c>
    </row>
    <row r="13" spans="1:16" x14ac:dyDescent="0.25">
      <c r="A13" s="1">
        <v>41609</v>
      </c>
      <c r="B13">
        <v>16967.8</v>
      </c>
      <c r="C13" t="e">
        <f t="shared" si="0"/>
        <v>#VALUE!</v>
      </c>
      <c r="D13">
        <v>111</v>
      </c>
      <c r="F13" t="s">
        <v>25</v>
      </c>
      <c r="G13">
        <f>SUM(D74:D85)</f>
        <v>670.5</v>
      </c>
      <c r="I13" t="s">
        <v>33</v>
      </c>
      <c r="J13" t="s">
        <v>34</v>
      </c>
    </row>
    <row r="14" spans="1:16" x14ac:dyDescent="0.25">
      <c r="A14" s="1">
        <v>41640</v>
      </c>
      <c r="B14">
        <v>14472.3</v>
      </c>
      <c r="C14" t="e">
        <f t="shared" si="0"/>
        <v>#VALUE!</v>
      </c>
      <c r="D14">
        <v>67</v>
      </c>
      <c r="F14" t="s">
        <v>26</v>
      </c>
      <c r="G14">
        <f>SUM(D86:D97)</f>
        <v>645.5</v>
      </c>
      <c r="I14" t="s">
        <v>35</v>
      </c>
    </row>
    <row r="15" spans="1:16" x14ac:dyDescent="0.25">
      <c r="A15" s="1">
        <v>41671</v>
      </c>
      <c r="B15">
        <v>14634.1</v>
      </c>
      <c r="C15" t="e">
        <f t="shared" si="0"/>
        <v>#VALUE!</v>
      </c>
      <c r="D15">
        <v>72</v>
      </c>
      <c r="F15" t="s">
        <v>27</v>
      </c>
      <c r="G15">
        <f>SUM(D98:D109)</f>
        <v>557</v>
      </c>
    </row>
    <row r="16" spans="1:16" x14ac:dyDescent="0.25">
      <c r="A16" s="1">
        <v>41699</v>
      </c>
      <c r="B16">
        <v>15192.6</v>
      </c>
      <c r="C16" t="e">
        <f t="shared" si="0"/>
        <v>#VALUE!</v>
      </c>
      <c r="D16">
        <v>89</v>
      </c>
      <c r="F16" t="s">
        <v>28</v>
      </c>
      <c r="G16">
        <f>SUM(D110:D121)</f>
        <v>1381</v>
      </c>
    </row>
    <row r="17" spans="1:7" x14ac:dyDescent="0.25">
      <c r="A17" s="1">
        <v>41730</v>
      </c>
      <c r="B17">
        <v>14292.5</v>
      </c>
      <c r="C17" t="e">
        <f t="shared" si="0"/>
        <v>#VALUE!</v>
      </c>
      <c r="D17">
        <v>59</v>
      </c>
      <c r="F17" t="s">
        <v>29</v>
      </c>
      <c r="G17">
        <f>SUM(D122:D133)</f>
        <v>1481</v>
      </c>
    </row>
    <row r="18" spans="1:7" x14ac:dyDescent="0.25">
      <c r="A18" s="1">
        <v>41760</v>
      </c>
      <c r="B18">
        <v>14823.6</v>
      </c>
      <c r="C18" t="e">
        <f t="shared" si="0"/>
        <v>#VALUE!</v>
      </c>
      <c r="D18">
        <v>79</v>
      </c>
    </row>
    <row r="19" spans="1:7" x14ac:dyDescent="0.25">
      <c r="A19" s="1">
        <v>41791</v>
      </c>
      <c r="B19">
        <v>15409.5</v>
      </c>
      <c r="C19" t="e">
        <f t="shared" si="0"/>
        <v>#VALUE!</v>
      </c>
      <c r="D19">
        <v>100</v>
      </c>
    </row>
    <row r="20" spans="1:7" x14ac:dyDescent="0.25">
      <c r="A20" s="1">
        <v>41821</v>
      </c>
      <c r="B20">
        <v>14124.1</v>
      </c>
      <c r="C20" t="e">
        <f t="shared" si="0"/>
        <v>#VALUE!</v>
      </c>
      <c r="D20">
        <v>54</v>
      </c>
    </row>
    <row r="21" spans="1:7" x14ac:dyDescent="0.25">
      <c r="A21" s="1">
        <v>41852</v>
      </c>
      <c r="B21">
        <v>14481.6</v>
      </c>
      <c r="C21" t="e">
        <f t="shared" si="0"/>
        <v>#VALUE!</v>
      </c>
      <c r="D21">
        <v>68</v>
      </c>
    </row>
    <row r="22" spans="1:7" x14ac:dyDescent="0.25">
      <c r="A22" s="1">
        <v>41883</v>
      </c>
      <c r="B22">
        <v>15275.8</v>
      </c>
      <c r="C22" t="e">
        <f t="shared" si="0"/>
        <v>#VALUE!</v>
      </c>
      <c r="D22">
        <v>95</v>
      </c>
    </row>
    <row r="23" spans="1:7" x14ac:dyDescent="0.25">
      <c r="A23" s="1">
        <v>41913</v>
      </c>
      <c r="B23">
        <v>15292.8</v>
      </c>
      <c r="C23" t="e">
        <f t="shared" si="0"/>
        <v>#VALUE!</v>
      </c>
      <c r="D23">
        <v>96</v>
      </c>
    </row>
    <row r="24" spans="1:7" x14ac:dyDescent="0.25">
      <c r="A24" s="1">
        <v>41944</v>
      </c>
      <c r="B24">
        <v>13544.7</v>
      </c>
      <c r="C24" t="e">
        <f t="shared" si="0"/>
        <v>#VALUE!</v>
      </c>
      <c r="D24">
        <v>39</v>
      </c>
    </row>
    <row r="25" spans="1:7" x14ac:dyDescent="0.25">
      <c r="A25" s="1">
        <v>41974</v>
      </c>
      <c r="B25">
        <v>14436.3</v>
      </c>
      <c r="C25" t="e">
        <f t="shared" si="0"/>
        <v>#VALUE!</v>
      </c>
      <c r="D25">
        <v>64</v>
      </c>
    </row>
    <row r="26" spans="1:7" x14ac:dyDescent="0.25">
      <c r="A26" s="1">
        <v>42005</v>
      </c>
      <c r="B26">
        <v>13244.9</v>
      </c>
      <c r="C26" t="e">
        <f t="shared" si="0"/>
        <v>#VALUE!</v>
      </c>
      <c r="D26">
        <v>34</v>
      </c>
    </row>
    <row r="27" spans="1:7" x14ac:dyDescent="0.25">
      <c r="A27" s="1">
        <v>42036</v>
      </c>
      <c r="B27">
        <v>12172.8</v>
      </c>
      <c r="C27" t="e">
        <f t="shared" si="0"/>
        <v>#VALUE!</v>
      </c>
      <c r="D27">
        <v>17</v>
      </c>
    </row>
    <row r="28" spans="1:7" x14ac:dyDescent="0.25">
      <c r="A28" s="1">
        <v>42064</v>
      </c>
      <c r="B28">
        <v>13634</v>
      </c>
      <c r="C28" t="e">
        <f t="shared" si="0"/>
        <v>#VALUE!</v>
      </c>
      <c r="D28">
        <v>41</v>
      </c>
    </row>
    <row r="29" spans="1:7" x14ac:dyDescent="0.25">
      <c r="A29" s="1">
        <v>42095</v>
      </c>
      <c r="B29">
        <v>13104.6</v>
      </c>
      <c r="C29" t="e">
        <f t="shared" si="0"/>
        <v>#VALUE!</v>
      </c>
      <c r="D29">
        <v>32</v>
      </c>
    </row>
    <row r="30" spans="1:7" x14ac:dyDescent="0.25">
      <c r="A30" s="1">
        <v>42125</v>
      </c>
      <c r="B30">
        <v>12754.7</v>
      </c>
      <c r="C30" t="e">
        <f t="shared" si="0"/>
        <v>#VALUE!</v>
      </c>
      <c r="D30">
        <v>24</v>
      </c>
    </row>
    <row r="31" spans="1:7" x14ac:dyDescent="0.25">
      <c r="A31" s="1">
        <v>42156</v>
      </c>
      <c r="B31">
        <v>13514.1</v>
      </c>
      <c r="C31" t="e">
        <f t="shared" si="0"/>
        <v>#VALUE!</v>
      </c>
      <c r="D31">
        <v>38</v>
      </c>
    </row>
    <row r="32" spans="1:7" x14ac:dyDescent="0.25">
      <c r="A32" s="1">
        <v>42186</v>
      </c>
      <c r="B32">
        <v>11465.8</v>
      </c>
      <c r="C32" t="e">
        <f t="shared" si="0"/>
        <v>#VALUE!</v>
      </c>
      <c r="D32">
        <v>6</v>
      </c>
    </row>
    <row r="33" spans="1:4" x14ac:dyDescent="0.25">
      <c r="A33" s="1">
        <v>42217</v>
      </c>
      <c r="B33">
        <v>12726</v>
      </c>
      <c r="C33" t="e">
        <f t="shared" si="0"/>
        <v>#VALUE!</v>
      </c>
      <c r="D33">
        <v>22</v>
      </c>
    </row>
    <row r="34" spans="1:4" x14ac:dyDescent="0.25">
      <c r="A34" s="1">
        <v>42248</v>
      </c>
      <c r="B34">
        <v>12588.4</v>
      </c>
      <c r="C34" t="e">
        <f t="shared" si="0"/>
        <v>#VALUE!</v>
      </c>
      <c r="D34">
        <v>19</v>
      </c>
    </row>
    <row r="35" spans="1:4" x14ac:dyDescent="0.25">
      <c r="A35" s="1">
        <v>42278</v>
      </c>
      <c r="B35">
        <v>12121.7</v>
      </c>
      <c r="C35" t="e">
        <f t="shared" si="0"/>
        <v>#VALUE!</v>
      </c>
      <c r="D35">
        <v>15</v>
      </c>
    </row>
    <row r="36" spans="1:4" x14ac:dyDescent="0.25">
      <c r="A36" s="1">
        <v>42309</v>
      </c>
      <c r="B36">
        <v>11122.2</v>
      </c>
      <c r="C36" t="e">
        <f t="shared" si="0"/>
        <v>#VALUE!</v>
      </c>
      <c r="D36">
        <v>4</v>
      </c>
    </row>
    <row r="37" spans="1:4" x14ac:dyDescent="0.25">
      <c r="A37" s="1">
        <v>42339</v>
      </c>
      <c r="B37">
        <v>11917.1</v>
      </c>
      <c r="C37" t="e">
        <f t="shared" si="0"/>
        <v>#VALUE!</v>
      </c>
      <c r="D37">
        <v>13</v>
      </c>
    </row>
    <row r="38" spans="1:4" x14ac:dyDescent="0.25">
      <c r="A38" s="1">
        <v>42370</v>
      </c>
      <c r="B38">
        <v>10581.9</v>
      </c>
      <c r="C38" t="e">
        <f t="shared" si="0"/>
        <v>#VALUE!</v>
      </c>
      <c r="D38">
        <v>3</v>
      </c>
    </row>
    <row r="39" spans="1:4" x14ac:dyDescent="0.25">
      <c r="A39" s="1">
        <v>42401</v>
      </c>
      <c r="B39">
        <v>11316.7</v>
      </c>
      <c r="C39" t="e">
        <f t="shared" si="0"/>
        <v>#VALUE!</v>
      </c>
      <c r="D39">
        <v>5</v>
      </c>
    </row>
    <row r="40" spans="1:4" x14ac:dyDescent="0.25">
      <c r="A40" s="1">
        <v>42430</v>
      </c>
      <c r="B40">
        <v>11812.1</v>
      </c>
      <c r="C40" t="e">
        <f t="shared" si="0"/>
        <v>#VALUE!</v>
      </c>
      <c r="D40">
        <v>12</v>
      </c>
    </row>
    <row r="41" spans="1:4" x14ac:dyDescent="0.25">
      <c r="A41" s="1">
        <v>42461</v>
      </c>
      <c r="B41">
        <v>11689.7</v>
      </c>
      <c r="C41" t="e">
        <f t="shared" si="0"/>
        <v>#VALUE!</v>
      </c>
      <c r="D41">
        <v>9</v>
      </c>
    </row>
    <row r="42" spans="1:4" x14ac:dyDescent="0.25">
      <c r="A42" s="1">
        <v>42491</v>
      </c>
      <c r="B42">
        <v>11517.4</v>
      </c>
      <c r="C42" t="e">
        <f t="shared" si="0"/>
        <v>#VALUE!</v>
      </c>
      <c r="D42">
        <v>7</v>
      </c>
    </row>
    <row r="43" spans="1:4" x14ac:dyDescent="0.25">
      <c r="A43" s="1">
        <v>42522</v>
      </c>
      <c r="B43">
        <v>13206.1</v>
      </c>
      <c r="C43" t="e">
        <f t="shared" si="0"/>
        <v>#VALUE!</v>
      </c>
      <c r="D43">
        <v>33</v>
      </c>
    </row>
    <row r="44" spans="1:4" x14ac:dyDescent="0.25">
      <c r="A44" s="1">
        <v>42552</v>
      </c>
      <c r="B44">
        <v>9649.5</v>
      </c>
      <c r="C44">
        <v>1</v>
      </c>
      <c r="D44">
        <v>1</v>
      </c>
    </row>
    <row r="45" spans="1:4" x14ac:dyDescent="0.25">
      <c r="A45" s="1">
        <v>42583</v>
      </c>
      <c r="B45">
        <v>12701.7</v>
      </c>
      <c r="C45">
        <f t="shared" ref="C45:C76" si="1">C44+1</f>
        <v>2</v>
      </c>
      <c r="D45">
        <v>21</v>
      </c>
    </row>
    <row r="46" spans="1:4" x14ac:dyDescent="0.25">
      <c r="A46" s="1">
        <v>42614</v>
      </c>
      <c r="B46">
        <v>12579.8</v>
      </c>
      <c r="C46">
        <f t="shared" si="1"/>
        <v>3</v>
      </c>
      <c r="D46">
        <v>18</v>
      </c>
    </row>
    <row r="47" spans="1:4" x14ac:dyDescent="0.25">
      <c r="A47" s="1">
        <v>42644</v>
      </c>
      <c r="B47">
        <v>12743.7</v>
      </c>
      <c r="C47">
        <f t="shared" si="1"/>
        <v>4</v>
      </c>
      <c r="D47">
        <v>23</v>
      </c>
    </row>
    <row r="48" spans="1:4" x14ac:dyDescent="0.25">
      <c r="A48" s="1">
        <v>42675</v>
      </c>
      <c r="B48">
        <v>13502.9</v>
      </c>
      <c r="C48">
        <f t="shared" si="1"/>
        <v>5</v>
      </c>
      <c r="D48">
        <v>37</v>
      </c>
    </row>
    <row r="49" spans="1:4" x14ac:dyDescent="0.25">
      <c r="A49" s="1">
        <v>42705</v>
      </c>
      <c r="B49">
        <v>13832.4</v>
      </c>
      <c r="C49">
        <f t="shared" si="1"/>
        <v>6</v>
      </c>
      <c r="D49">
        <v>44</v>
      </c>
    </row>
    <row r="50" spans="1:4" x14ac:dyDescent="0.25">
      <c r="A50" s="1">
        <v>42736</v>
      </c>
      <c r="B50">
        <v>13397.7</v>
      </c>
      <c r="C50">
        <f t="shared" si="1"/>
        <v>7</v>
      </c>
      <c r="D50">
        <v>36</v>
      </c>
    </row>
    <row r="51" spans="1:4" x14ac:dyDescent="0.25">
      <c r="A51" s="1">
        <v>42767</v>
      </c>
      <c r="B51">
        <v>12616</v>
      </c>
      <c r="C51">
        <f t="shared" si="1"/>
        <v>8</v>
      </c>
      <c r="D51">
        <v>20</v>
      </c>
    </row>
    <row r="52" spans="1:4" x14ac:dyDescent="0.25">
      <c r="A52" s="1">
        <v>42795</v>
      </c>
      <c r="B52">
        <v>14718.5</v>
      </c>
      <c r="C52">
        <f t="shared" si="1"/>
        <v>9</v>
      </c>
      <c r="D52">
        <v>74</v>
      </c>
    </row>
    <row r="53" spans="1:4" x14ac:dyDescent="0.25">
      <c r="A53" s="1">
        <v>42826</v>
      </c>
      <c r="B53">
        <v>13269.7</v>
      </c>
      <c r="C53">
        <f t="shared" si="1"/>
        <v>10</v>
      </c>
      <c r="D53">
        <v>35</v>
      </c>
    </row>
    <row r="54" spans="1:4" x14ac:dyDescent="0.25">
      <c r="A54" s="1">
        <v>42856</v>
      </c>
      <c r="B54">
        <v>14333.9</v>
      </c>
      <c r="C54">
        <f t="shared" si="1"/>
        <v>11</v>
      </c>
      <c r="D54">
        <v>60</v>
      </c>
    </row>
    <row r="55" spans="1:4" x14ac:dyDescent="0.25">
      <c r="A55" s="1">
        <v>42887</v>
      </c>
      <c r="B55">
        <v>11661.4</v>
      </c>
      <c r="C55">
        <f t="shared" si="1"/>
        <v>12</v>
      </c>
      <c r="D55">
        <v>8</v>
      </c>
    </row>
    <row r="56" spans="1:4" x14ac:dyDescent="0.25">
      <c r="A56" s="1">
        <v>42917</v>
      </c>
      <c r="B56">
        <v>13611.1</v>
      </c>
      <c r="C56">
        <f t="shared" si="1"/>
        <v>13</v>
      </c>
      <c r="D56">
        <v>40</v>
      </c>
    </row>
    <row r="57" spans="1:4" x14ac:dyDescent="0.25">
      <c r="A57" s="1">
        <v>42948</v>
      </c>
      <c r="B57">
        <v>15188</v>
      </c>
      <c r="C57">
        <f t="shared" si="1"/>
        <v>14</v>
      </c>
      <c r="D57">
        <v>88</v>
      </c>
    </row>
    <row r="58" spans="1:4" x14ac:dyDescent="0.25">
      <c r="A58" s="1">
        <v>42979</v>
      </c>
      <c r="B58">
        <v>14580.2</v>
      </c>
      <c r="C58">
        <f t="shared" si="1"/>
        <v>15</v>
      </c>
      <c r="D58">
        <v>71</v>
      </c>
    </row>
    <row r="59" spans="1:4" x14ac:dyDescent="0.25">
      <c r="A59" s="1">
        <v>43009</v>
      </c>
      <c r="B59">
        <v>15252.6</v>
      </c>
      <c r="C59">
        <f t="shared" si="1"/>
        <v>16</v>
      </c>
      <c r="D59">
        <v>92</v>
      </c>
    </row>
    <row r="60" spans="1:4" x14ac:dyDescent="0.25">
      <c r="A60" s="1">
        <v>43040</v>
      </c>
      <c r="B60">
        <v>15334.7</v>
      </c>
      <c r="C60">
        <f t="shared" si="1"/>
        <v>17</v>
      </c>
      <c r="D60">
        <v>98</v>
      </c>
    </row>
    <row r="61" spans="1:4" x14ac:dyDescent="0.25">
      <c r="A61" s="1">
        <v>43070</v>
      </c>
      <c r="B61">
        <v>14864.5</v>
      </c>
      <c r="C61">
        <f t="shared" si="1"/>
        <v>18</v>
      </c>
      <c r="D61">
        <v>81</v>
      </c>
    </row>
    <row r="62" spans="1:4" x14ac:dyDescent="0.25">
      <c r="A62" s="1">
        <v>43101</v>
      </c>
      <c r="B62">
        <v>14576.3</v>
      </c>
      <c r="C62">
        <f t="shared" si="1"/>
        <v>19</v>
      </c>
      <c r="D62">
        <v>70</v>
      </c>
    </row>
    <row r="63" spans="1:4" x14ac:dyDescent="0.25">
      <c r="A63" s="1">
        <v>43132</v>
      </c>
      <c r="B63">
        <v>14132.4</v>
      </c>
      <c r="C63">
        <f t="shared" si="1"/>
        <v>20</v>
      </c>
      <c r="D63">
        <v>55</v>
      </c>
    </row>
    <row r="64" spans="1:4" x14ac:dyDescent="0.25">
      <c r="A64" s="1">
        <v>43160</v>
      </c>
      <c r="B64">
        <v>15510.6</v>
      </c>
      <c r="C64">
        <f t="shared" si="1"/>
        <v>21</v>
      </c>
      <c r="D64">
        <v>101</v>
      </c>
    </row>
    <row r="65" spans="1:4" x14ac:dyDescent="0.25">
      <c r="A65" s="1">
        <v>43191</v>
      </c>
      <c r="B65">
        <v>14496.2</v>
      </c>
      <c r="C65">
        <f t="shared" si="1"/>
        <v>22</v>
      </c>
      <c r="D65">
        <v>69</v>
      </c>
    </row>
    <row r="66" spans="1:4" x14ac:dyDescent="0.25">
      <c r="A66" s="1">
        <v>43221</v>
      </c>
      <c r="B66">
        <v>16198.3</v>
      </c>
      <c r="C66">
        <f t="shared" si="1"/>
        <v>23</v>
      </c>
      <c r="D66">
        <v>107</v>
      </c>
    </row>
    <row r="67" spans="1:4" x14ac:dyDescent="0.25">
      <c r="A67" s="1">
        <v>43252</v>
      </c>
      <c r="B67">
        <v>12941.7</v>
      </c>
      <c r="C67">
        <f t="shared" si="1"/>
        <v>24</v>
      </c>
      <c r="D67">
        <v>27</v>
      </c>
    </row>
    <row r="68" spans="1:4" x14ac:dyDescent="0.25">
      <c r="A68" s="1">
        <v>43282</v>
      </c>
      <c r="B68">
        <v>16284.7</v>
      </c>
      <c r="C68">
        <f t="shared" si="1"/>
        <v>25</v>
      </c>
      <c r="D68">
        <v>108</v>
      </c>
    </row>
    <row r="69" spans="1:4" x14ac:dyDescent="0.25">
      <c r="A69" s="1">
        <v>43313</v>
      </c>
      <c r="B69">
        <v>15865.1</v>
      </c>
      <c r="C69">
        <f t="shared" si="1"/>
        <v>26</v>
      </c>
      <c r="D69">
        <v>103</v>
      </c>
    </row>
    <row r="70" spans="1:4" x14ac:dyDescent="0.25">
      <c r="A70" s="1">
        <v>43344</v>
      </c>
      <c r="B70">
        <v>14956.3</v>
      </c>
      <c r="C70">
        <f t="shared" si="1"/>
        <v>27</v>
      </c>
      <c r="D70">
        <v>84</v>
      </c>
    </row>
    <row r="71" spans="1:4" x14ac:dyDescent="0.25">
      <c r="A71" s="1">
        <v>43374</v>
      </c>
      <c r="B71">
        <v>15909.1</v>
      </c>
      <c r="C71">
        <f t="shared" si="1"/>
        <v>28</v>
      </c>
      <c r="D71">
        <v>104</v>
      </c>
    </row>
    <row r="72" spans="1:4" x14ac:dyDescent="0.25">
      <c r="A72" s="1">
        <v>43405</v>
      </c>
      <c r="B72">
        <v>14851.7</v>
      </c>
      <c r="C72">
        <f t="shared" si="1"/>
        <v>29</v>
      </c>
      <c r="D72">
        <v>80</v>
      </c>
    </row>
    <row r="73" spans="1:4" x14ac:dyDescent="0.25">
      <c r="A73" s="1">
        <v>43435</v>
      </c>
      <c r="B73">
        <v>14290.1</v>
      </c>
      <c r="C73">
        <f t="shared" si="1"/>
        <v>30</v>
      </c>
      <c r="D73">
        <v>58</v>
      </c>
    </row>
    <row r="74" spans="1:4" x14ac:dyDescent="0.25">
      <c r="A74" s="1">
        <v>43466</v>
      </c>
      <c r="B74">
        <v>14028.1</v>
      </c>
      <c r="C74">
        <f t="shared" si="1"/>
        <v>31</v>
      </c>
      <c r="D74">
        <v>48.5</v>
      </c>
    </row>
    <row r="75" spans="1:4" x14ac:dyDescent="0.25">
      <c r="A75" s="1">
        <v>43497</v>
      </c>
      <c r="B75">
        <v>12788.6</v>
      </c>
      <c r="C75">
        <f t="shared" si="1"/>
        <v>32</v>
      </c>
      <c r="D75">
        <v>25.5</v>
      </c>
    </row>
    <row r="76" spans="1:4" x14ac:dyDescent="0.25">
      <c r="A76" s="1">
        <v>43525</v>
      </c>
      <c r="B76">
        <v>14447.8</v>
      </c>
      <c r="C76">
        <f t="shared" si="1"/>
        <v>33</v>
      </c>
      <c r="D76">
        <v>65.5</v>
      </c>
    </row>
    <row r="77" spans="1:4" x14ac:dyDescent="0.25">
      <c r="A77" s="1">
        <v>43556</v>
      </c>
      <c r="B77">
        <v>13068.1</v>
      </c>
      <c r="C77">
        <f t="shared" ref="C77:C101" si="2">C76+1</f>
        <v>34</v>
      </c>
      <c r="D77">
        <v>29.5</v>
      </c>
    </row>
    <row r="78" spans="1:4" x14ac:dyDescent="0.25">
      <c r="A78" s="1">
        <v>43586</v>
      </c>
      <c r="B78">
        <v>14751.9</v>
      </c>
      <c r="C78">
        <f t="shared" si="2"/>
        <v>35</v>
      </c>
      <c r="D78">
        <v>75.5</v>
      </c>
    </row>
    <row r="79" spans="1:4" x14ac:dyDescent="0.25">
      <c r="A79" s="1">
        <v>43617</v>
      </c>
      <c r="B79">
        <v>11763.4</v>
      </c>
      <c r="C79">
        <f t="shared" si="2"/>
        <v>36</v>
      </c>
      <c r="D79">
        <f>(C79+C80)/2</f>
        <v>36.5</v>
      </c>
    </row>
    <row r="80" spans="1:4" x14ac:dyDescent="0.25">
      <c r="A80" s="1">
        <v>43647</v>
      </c>
      <c r="B80">
        <v>15238.4</v>
      </c>
      <c r="C80">
        <f t="shared" si="2"/>
        <v>37</v>
      </c>
      <c r="D80">
        <v>90</v>
      </c>
    </row>
    <row r="81" spans="1:4" x14ac:dyDescent="0.25">
      <c r="A81" s="1">
        <v>43678</v>
      </c>
      <c r="B81">
        <v>14262</v>
      </c>
      <c r="C81">
        <f t="shared" si="2"/>
        <v>38</v>
      </c>
      <c r="D81">
        <v>56.5</v>
      </c>
    </row>
    <row r="82" spans="1:4" x14ac:dyDescent="0.25">
      <c r="A82" s="1">
        <v>43709</v>
      </c>
      <c r="B82">
        <v>14080.1</v>
      </c>
      <c r="C82">
        <f t="shared" si="2"/>
        <v>39</v>
      </c>
      <c r="D82">
        <v>52.5</v>
      </c>
    </row>
    <row r="83" spans="1:4" x14ac:dyDescent="0.25">
      <c r="A83" s="1">
        <v>43739</v>
      </c>
      <c r="B83">
        <v>14881.5</v>
      </c>
      <c r="C83">
        <f t="shared" si="2"/>
        <v>40</v>
      </c>
      <c r="D83">
        <v>82.5</v>
      </c>
    </row>
    <row r="84" spans="1:4" x14ac:dyDescent="0.25">
      <c r="A84" s="1">
        <v>43770</v>
      </c>
      <c r="B84">
        <v>13944.5</v>
      </c>
      <c r="C84">
        <f t="shared" si="2"/>
        <v>41</v>
      </c>
      <c r="D84">
        <v>45.5</v>
      </c>
    </row>
    <row r="85" spans="1:4" x14ac:dyDescent="0.25">
      <c r="A85" s="1">
        <v>43800</v>
      </c>
      <c r="B85">
        <v>14428.8</v>
      </c>
      <c r="C85">
        <f t="shared" si="2"/>
        <v>42</v>
      </c>
      <c r="D85">
        <v>62.5</v>
      </c>
    </row>
    <row r="86" spans="1:4" x14ac:dyDescent="0.25">
      <c r="A86" s="1">
        <v>43831</v>
      </c>
      <c r="B86">
        <v>14028.1</v>
      </c>
      <c r="C86">
        <f t="shared" si="2"/>
        <v>43</v>
      </c>
      <c r="D86">
        <v>48.5</v>
      </c>
    </row>
    <row r="87" spans="1:4" x14ac:dyDescent="0.25">
      <c r="A87" s="1">
        <v>43862</v>
      </c>
      <c r="B87">
        <v>12788.6</v>
      </c>
      <c r="C87">
        <f t="shared" si="2"/>
        <v>44</v>
      </c>
      <c r="D87">
        <v>25.5</v>
      </c>
    </row>
    <row r="88" spans="1:4" x14ac:dyDescent="0.25">
      <c r="A88" s="1">
        <v>43891</v>
      </c>
      <c r="B88">
        <v>14447.8</v>
      </c>
      <c r="C88">
        <f t="shared" si="2"/>
        <v>45</v>
      </c>
      <c r="D88">
        <v>65.5</v>
      </c>
    </row>
    <row r="89" spans="1:4" x14ac:dyDescent="0.25">
      <c r="A89" s="1">
        <v>43922</v>
      </c>
      <c r="B89">
        <v>13068.1</v>
      </c>
      <c r="C89">
        <f t="shared" si="2"/>
        <v>46</v>
      </c>
      <c r="D89">
        <v>29.5</v>
      </c>
    </row>
    <row r="90" spans="1:4" x14ac:dyDescent="0.25">
      <c r="A90" s="1">
        <v>43952</v>
      </c>
      <c r="B90">
        <v>14751.9</v>
      </c>
      <c r="C90">
        <f t="shared" si="2"/>
        <v>47</v>
      </c>
      <c r="D90">
        <v>75.5</v>
      </c>
    </row>
    <row r="91" spans="1:4" x14ac:dyDescent="0.25">
      <c r="A91" s="1">
        <v>43983</v>
      </c>
      <c r="B91">
        <v>11763.4</v>
      </c>
      <c r="C91">
        <f t="shared" si="2"/>
        <v>48</v>
      </c>
      <c r="D91">
        <v>10.5</v>
      </c>
    </row>
    <row r="92" spans="1:4" x14ac:dyDescent="0.25">
      <c r="A92" s="1">
        <v>44013</v>
      </c>
      <c r="B92">
        <v>15238.4</v>
      </c>
      <c r="C92">
        <f t="shared" si="2"/>
        <v>49</v>
      </c>
      <c r="D92">
        <v>91</v>
      </c>
    </row>
    <row r="93" spans="1:4" x14ac:dyDescent="0.25">
      <c r="A93" s="1">
        <v>44044</v>
      </c>
      <c r="B93">
        <v>14262</v>
      </c>
      <c r="C93">
        <f t="shared" si="2"/>
        <v>50</v>
      </c>
      <c r="D93">
        <v>56.5</v>
      </c>
    </row>
    <row r="94" spans="1:4" x14ac:dyDescent="0.25">
      <c r="A94" s="1">
        <v>44075</v>
      </c>
      <c r="B94">
        <v>14080.1</v>
      </c>
      <c r="C94">
        <f t="shared" si="2"/>
        <v>51</v>
      </c>
      <c r="D94">
        <v>52.5</v>
      </c>
    </row>
    <row r="95" spans="1:4" x14ac:dyDescent="0.25">
      <c r="A95" s="1">
        <v>44105</v>
      </c>
      <c r="B95">
        <v>14881.5</v>
      </c>
      <c r="C95">
        <f t="shared" si="2"/>
        <v>52</v>
      </c>
      <c r="D95">
        <v>82.5</v>
      </c>
    </row>
    <row r="96" spans="1:4" x14ac:dyDescent="0.25">
      <c r="A96" s="1">
        <v>44136</v>
      </c>
      <c r="B96">
        <v>13944.5</v>
      </c>
      <c r="C96">
        <f t="shared" si="2"/>
        <v>53</v>
      </c>
      <c r="D96">
        <v>45.5</v>
      </c>
    </row>
    <row r="97" spans="1:4" x14ac:dyDescent="0.25">
      <c r="A97" s="1">
        <v>44166</v>
      </c>
      <c r="B97">
        <v>14428.8</v>
      </c>
      <c r="C97">
        <f t="shared" si="2"/>
        <v>54</v>
      </c>
      <c r="D97">
        <v>62.5</v>
      </c>
    </row>
    <row r="98" spans="1:4" x14ac:dyDescent="0.25">
      <c r="A98" s="1">
        <v>44197</v>
      </c>
      <c r="B98">
        <v>13636.4</v>
      </c>
      <c r="C98">
        <f t="shared" si="2"/>
        <v>55</v>
      </c>
      <c r="D98">
        <v>42</v>
      </c>
    </row>
    <row r="99" spans="1:4" x14ac:dyDescent="0.25">
      <c r="A99" s="1">
        <v>44228</v>
      </c>
      <c r="B99">
        <v>14042.1</v>
      </c>
      <c r="C99">
        <f t="shared" si="2"/>
        <v>56</v>
      </c>
      <c r="D99">
        <v>51</v>
      </c>
    </row>
    <row r="100" spans="1:4" x14ac:dyDescent="0.25">
      <c r="A100" s="1">
        <v>44256</v>
      </c>
      <c r="B100">
        <v>14031.3</v>
      </c>
      <c r="C100">
        <f t="shared" si="2"/>
        <v>57</v>
      </c>
      <c r="D100">
        <v>50</v>
      </c>
    </row>
    <row r="101" spans="1:4" x14ac:dyDescent="0.25">
      <c r="A101" s="1">
        <v>44287</v>
      </c>
      <c r="B101">
        <v>12159.8</v>
      </c>
      <c r="C101">
        <f t="shared" si="2"/>
        <v>58</v>
      </c>
      <c r="D101">
        <v>16</v>
      </c>
    </row>
    <row r="102" spans="1:4" x14ac:dyDescent="0.25">
      <c r="A102" s="1">
        <v>44317</v>
      </c>
      <c r="B102">
        <v>10452.6</v>
      </c>
      <c r="C102">
        <v>2</v>
      </c>
      <c r="D102">
        <v>2</v>
      </c>
    </row>
    <row r="103" spans="1:4" x14ac:dyDescent="0.25">
      <c r="A103" s="1">
        <v>44348</v>
      </c>
      <c r="B103">
        <v>12006.8</v>
      </c>
      <c r="C103">
        <f t="shared" ref="C103:C133" si="3">C102+1</f>
        <v>3</v>
      </c>
      <c r="D103">
        <v>14</v>
      </c>
    </row>
    <row r="104" spans="1:4" x14ac:dyDescent="0.25">
      <c r="A104" s="1">
        <v>44378</v>
      </c>
      <c r="B104">
        <v>13689.9</v>
      </c>
      <c r="C104">
        <f t="shared" si="3"/>
        <v>4</v>
      </c>
      <c r="D104">
        <v>43</v>
      </c>
    </row>
    <row r="105" spans="1:4" x14ac:dyDescent="0.25">
      <c r="A105" s="1">
        <v>44409</v>
      </c>
      <c r="B105">
        <v>13055.3</v>
      </c>
      <c r="C105">
        <f t="shared" si="3"/>
        <v>5</v>
      </c>
      <c r="D105">
        <v>28</v>
      </c>
    </row>
    <row r="106" spans="1:4" x14ac:dyDescent="0.25">
      <c r="A106" s="1">
        <v>44440</v>
      </c>
      <c r="B106">
        <v>13956.2</v>
      </c>
      <c r="C106">
        <f t="shared" si="3"/>
        <v>6</v>
      </c>
      <c r="D106">
        <v>47</v>
      </c>
    </row>
    <row r="107" spans="1:4" x14ac:dyDescent="0.25">
      <c r="A107" s="1">
        <v>44470</v>
      </c>
      <c r="B107">
        <v>14363.4</v>
      </c>
      <c r="C107">
        <f t="shared" si="3"/>
        <v>7</v>
      </c>
      <c r="D107">
        <v>61</v>
      </c>
    </row>
    <row r="108" spans="1:4" x14ac:dyDescent="0.25">
      <c r="A108" s="1">
        <v>44501</v>
      </c>
      <c r="B108">
        <v>15258.4</v>
      </c>
      <c r="C108">
        <f t="shared" si="3"/>
        <v>8</v>
      </c>
      <c r="D108">
        <v>94</v>
      </c>
    </row>
    <row r="109" spans="1:4" x14ac:dyDescent="0.25">
      <c r="A109" s="1">
        <v>44531</v>
      </c>
      <c r="B109">
        <v>16539.599999999999</v>
      </c>
      <c r="C109">
        <f t="shared" si="3"/>
        <v>9</v>
      </c>
      <c r="D109">
        <v>109</v>
      </c>
    </row>
    <row r="110" spans="1:4" x14ac:dyDescent="0.25">
      <c r="A110" s="1">
        <v>44562</v>
      </c>
      <c r="B110">
        <v>15300.2</v>
      </c>
      <c r="C110">
        <f t="shared" si="3"/>
        <v>10</v>
      </c>
      <c r="D110">
        <v>97</v>
      </c>
    </row>
    <row r="111" spans="1:4" x14ac:dyDescent="0.25">
      <c r="A111" s="1">
        <v>44593</v>
      </c>
      <c r="B111">
        <v>15255.4</v>
      </c>
      <c r="C111">
        <f t="shared" si="3"/>
        <v>11</v>
      </c>
      <c r="D111">
        <v>93</v>
      </c>
    </row>
    <row r="112" spans="1:4" x14ac:dyDescent="0.25">
      <c r="A112" s="1">
        <v>44621</v>
      </c>
      <c r="B112">
        <v>18398.400000000001</v>
      </c>
      <c r="C112">
        <f t="shared" si="3"/>
        <v>12</v>
      </c>
      <c r="D112">
        <v>112</v>
      </c>
    </row>
    <row r="113" spans="1:4" x14ac:dyDescent="0.25">
      <c r="A113" s="1">
        <v>44652</v>
      </c>
      <c r="B113">
        <v>18474.099999999999</v>
      </c>
      <c r="C113">
        <f t="shared" si="3"/>
        <v>13</v>
      </c>
      <c r="D113">
        <v>113</v>
      </c>
    </row>
    <row r="114" spans="1:4" x14ac:dyDescent="0.25">
      <c r="A114" s="1">
        <v>44682</v>
      </c>
      <c r="B114">
        <v>16908</v>
      </c>
      <c r="C114">
        <f t="shared" si="3"/>
        <v>14</v>
      </c>
      <c r="D114">
        <v>110</v>
      </c>
    </row>
    <row r="115" spans="1:4" x14ac:dyDescent="0.25">
      <c r="A115" s="1">
        <v>44713</v>
      </c>
      <c r="B115">
        <v>18547.8</v>
      </c>
      <c r="C115">
        <f t="shared" si="3"/>
        <v>15</v>
      </c>
      <c r="D115">
        <v>114</v>
      </c>
    </row>
    <row r="116" spans="1:4" x14ac:dyDescent="0.25">
      <c r="A116" s="1">
        <v>44743</v>
      </c>
      <c r="B116">
        <v>19369.599999999999</v>
      </c>
      <c r="C116">
        <f t="shared" si="3"/>
        <v>16</v>
      </c>
      <c r="D116">
        <v>116</v>
      </c>
    </row>
    <row r="117" spans="1:4" x14ac:dyDescent="0.25">
      <c r="A117" s="1">
        <v>44774</v>
      </c>
      <c r="B117">
        <v>21443.200000000001</v>
      </c>
      <c r="C117">
        <f t="shared" si="3"/>
        <v>17</v>
      </c>
      <c r="D117">
        <v>122</v>
      </c>
    </row>
    <row r="118" spans="1:4" x14ac:dyDescent="0.25">
      <c r="A118" s="1">
        <v>44805</v>
      </c>
      <c r="B118">
        <v>20618.8</v>
      </c>
      <c r="C118">
        <f t="shared" si="3"/>
        <v>18</v>
      </c>
      <c r="D118">
        <v>118</v>
      </c>
    </row>
    <row r="119" spans="1:4" x14ac:dyDescent="0.25">
      <c r="A119" s="1">
        <v>44835</v>
      </c>
      <c r="B119">
        <v>22091</v>
      </c>
      <c r="C119">
        <f t="shared" si="3"/>
        <v>19</v>
      </c>
      <c r="D119">
        <v>126</v>
      </c>
    </row>
    <row r="120" spans="1:4" x14ac:dyDescent="0.25">
      <c r="A120" s="1">
        <v>44866</v>
      </c>
      <c r="B120">
        <v>22845.4</v>
      </c>
      <c r="C120">
        <f t="shared" si="3"/>
        <v>20</v>
      </c>
      <c r="D120">
        <v>131</v>
      </c>
    </row>
    <row r="121" spans="1:4" x14ac:dyDescent="0.25">
      <c r="A121" s="1">
        <v>44896</v>
      </c>
      <c r="B121">
        <v>22357.7</v>
      </c>
      <c r="C121">
        <f t="shared" si="3"/>
        <v>21</v>
      </c>
      <c r="D121">
        <v>129</v>
      </c>
    </row>
    <row r="122" spans="1:4" x14ac:dyDescent="0.25">
      <c r="A122" s="1">
        <v>44927</v>
      </c>
      <c r="B122">
        <v>22320.7</v>
      </c>
      <c r="C122">
        <f t="shared" si="3"/>
        <v>22</v>
      </c>
      <c r="D122">
        <v>128</v>
      </c>
    </row>
    <row r="123" spans="1:4" x14ac:dyDescent="0.25">
      <c r="A123" s="1">
        <v>44958</v>
      </c>
      <c r="B123">
        <v>21319.7</v>
      </c>
      <c r="C123">
        <f t="shared" si="3"/>
        <v>23</v>
      </c>
      <c r="D123">
        <v>121</v>
      </c>
    </row>
    <row r="124" spans="1:4" x14ac:dyDescent="0.25">
      <c r="A124" s="1">
        <v>44986</v>
      </c>
      <c r="B124">
        <v>23413.9</v>
      </c>
      <c r="C124">
        <f t="shared" si="3"/>
        <v>24</v>
      </c>
      <c r="D124">
        <v>132</v>
      </c>
    </row>
    <row r="125" spans="1:4" x14ac:dyDescent="0.25">
      <c r="A125" s="1">
        <v>45017</v>
      </c>
      <c r="B125">
        <v>19280.400000000001</v>
      </c>
      <c r="C125">
        <f t="shared" si="3"/>
        <v>25</v>
      </c>
      <c r="D125">
        <v>115</v>
      </c>
    </row>
    <row r="126" spans="1:4" x14ac:dyDescent="0.25">
      <c r="A126" s="1">
        <v>45047</v>
      </c>
      <c r="B126">
        <v>21706.5</v>
      </c>
      <c r="C126">
        <f t="shared" si="3"/>
        <v>26</v>
      </c>
      <c r="D126">
        <v>123</v>
      </c>
    </row>
    <row r="127" spans="1:4" x14ac:dyDescent="0.25">
      <c r="A127" s="1">
        <v>45078</v>
      </c>
      <c r="B127">
        <v>20599</v>
      </c>
      <c r="C127">
        <f t="shared" si="3"/>
        <v>27</v>
      </c>
      <c r="D127">
        <v>117</v>
      </c>
    </row>
    <row r="128" spans="1:4" x14ac:dyDescent="0.25">
      <c r="A128" s="1">
        <v>45108</v>
      </c>
      <c r="B128">
        <v>20861.3</v>
      </c>
      <c r="C128">
        <f t="shared" si="3"/>
        <v>28</v>
      </c>
      <c r="D128">
        <v>120</v>
      </c>
    </row>
    <row r="129" spans="1:4" x14ac:dyDescent="0.25">
      <c r="A129" s="1">
        <v>45139</v>
      </c>
      <c r="B129">
        <v>21996.3</v>
      </c>
      <c r="C129">
        <f t="shared" si="3"/>
        <v>29</v>
      </c>
      <c r="D129">
        <v>125</v>
      </c>
    </row>
    <row r="130" spans="1:4" x14ac:dyDescent="0.25">
      <c r="A130" s="1">
        <v>45170</v>
      </c>
      <c r="B130">
        <v>20744.900000000001</v>
      </c>
      <c r="C130">
        <f t="shared" si="3"/>
        <v>30</v>
      </c>
      <c r="D130">
        <v>119</v>
      </c>
    </row>
    <row r="131" spans="1:4" x14ac:dyDescent="0.25">
      <c r="A131" s="1">
        <v>45200</v>
      </c>
      <c r="B131">
        <v>22144.5</v>
      </c>
      <c r="C131">
        <f t="shared" si="3"/>
        <v>31</v>
      </c>
      <c r="D131">
        <v>127</v>
      </c>
    </row>
    <row r="132" spans="1:4" x14ac:dyDescent="0.25">
      <c r="A132" s="1">
        <v>45231</v>
      </c>
      <c r="B132">
        <v>21995.9</v>
      </c>
      <c r="C132">
        <f t="shared" si="3"/>
        <v>32</v>
      </c>
      <c r="D132">
        <v>124</v>
      </c>
    </row>
    <row r="133" spans="1:4" x14ac:dyDescent="0.25">
      <c r="A133" s="1">
        <v>45261</v>
      </c>
      <c r="B133">
        <v>22391.200000000001</v>
      </c>
      <c r="C133">
        <f t="shared" si="3"/>
        <v>33</v>
      </c>
      <c r="D133">
        <v>130</v>
      </c>
    </row>
  </sheetData>
  <autoFilter ref="A1:D1" xr:uid="{00000000-0009-0000-0000-000002000000}">
    <sortState xmlns:xlrd2="http://schemas.microsoft.com/office/spreadsheetml/2017/richdata2" ref="A2:D133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J135"/>
  <sheetViews>
    <sheetView topLeftCell="B120" workbookViewId="0">
      <selection activeCell="C137" sqref="C137"/>
    </sheetView>
  </sheetViews>
  <sheetFormatPr defaultRowHeight="15" x14ac:dyDescent="0.25"/>
  <sheetData>
    <row r="3" spans="2:10" x14ac:dyDescent="0.25">
      <c r="B3" t="s">
        <v>0</v>
      </c>
      <c r="C3" t="s">
        <v>1</v>
      </c>
      <c r="F3" t="s">
        <v>36</v>
      </c>
    </row>
    <row r="4" spans="2:10" x14ac:dyDescent="0.25">
      <c r="B4" s="1">
        <v>41275</v>
      </c>
      <c r="C4">
        <v>15375.5</v>
      </c>
      <c r="F4" t="s">
        <v>37</v>
      </c>
      <c r="G4" t="s">
        <v>38</v>
      </c>
      <c r="J4" t="s">
        <v>39</v>
      </c>
    </row>
    <row r="5" spans="2:10" x14ac:dyDescent="0.25">
      <c r="B5" s="1">
        <v>41306</v>
      </c>
      <c r="C5">
        <v>15015.6</v>
      </c>
    </row>
    <row r="6" spans="2:10" x14ac:dyDescent="0.25">
      <c r="B6" s="1">
        <v>41334</v>
      </c>
      <c r="C6">
        <v>15024.6</v>
      </c>
    </row>
    <row r="7" spans="2:10" x14ac:dyDescent="0.25">
      <c r="B7" s="1">
        <v>41365</v>
      </c>
      <c r="C7">
        <v>14760.9</v>
      </c>
    </row>
    <row r="8" spans="2:10" x14ac:dyDescent="0.25">
      <c r="B8" s="1">
        <v>41395</v>
      </c>
      <c r="C8">
        <v>16133.4</v>
      </c>
    </row>
    <row r="9" spans="2:10" x14ac:dyDescent="0.25">
      <c r="B9" s="1">
        <v>41426</v>
      </c>
      <c r="C9">
        <v>14758.8</v>
      </c>
    </row>
    <row r="10" spans="2:10" x14ac:dyDescent="0.25">
      <c r="B10" s="1">
        <v>41456</v>
      </c>
      <c r="C10">
        <v>15087.9</v>
      </c>
    </row>
    <row r="11" spans="2:10" x14ac:dyDescent="0.25">
      <c r="B11" s="1">
        <v>41487</v>
      </c>
      <c r="C11">
        <v>13083.7</v>
      </c>
    </row>
    <row r="12" spans="2:10" x14ac:dyDescent="0.25">
      <c r="B12" s="1">
        <v>41518</v>
      </c>
      <c r="C12">
        <v>14706.8</v>
      </c>
    </row>
    <row r="13" spans="2:10" x14ac:dyDescent="0.25">
      <c r="B13" s="1">
        <v>41548</v>
      </c>
      <c r="C13">
        <v>15698.3</v>
      </c>
    </row>
    <row r="14" spans="2:10" x14ac:dyDescent="0.25">
      <c r="B14" s="1">
        <v>41579</v>
      </c>
      <c r="C14">
        <v>15938.6</v>
      </c>
    </row>
    <row r="15" spans="2:10" x14ac:dyDescent="0.25">
      <c r="B15" s="1">
        <v>41609</v>
      </c>
      <c r="C15">
        <v>16967.8</v>
      </c>
    </row>
    <row r="16" spans="2:10" x14ac:dyDescent="0.25">
      <c r="B16" s="1">
        <v>41640</v>
      </c>
      <c r="C16">
        <v>14472.3</v>
      </c>
    </row>
    <row r="17" spans="2:3" x14ac:dyDescent="0.25">
      <c r="B17" s="1">
        <v>41671</v>
      </c>
      <c r="C17">
        <v>14634.1</v>
      </c>
    </row>
    <row r="18" spans="2:3" x14ac:dyDescent="0.25">
      <c r="B18" s="1">
        <v>41699</v>
      </c>
      <c r="C18">
        <v>15192.6</v>
      </c>
    </row>
    <row r="19" spans="2:3" x14ac:dyDescent="0.25">
      <c r="B19" s="1">
        <v>41730</v>
      </c>
      <c r="C19">
        <v>14292.5</v>
      </c>
    </row>
    <row r="20" spans="2:3" x14ac:dyDescent="0.25">
      <c r="B20" s="1">
        <v>41760</v>
      </c>
      <c r="C20">
        <v>14823.6</v>
      </c>
    </row>
    <row r="21" spans="2:3" x14ac:dyDescent="0.25">
      <c r="B21" s="1">
        <v>41791</v>
      </c>
      <c r="C21">
        <v>15409.5</v>
      </c>
    </row>
    <row r="22" spans="2:3" x14ac:dyDescent="0.25">
      <c r="B22" s="1">
        <v>41821</v>
      </c>
      <c r="C22">
        <v>14124.1</v>
      </c>
    </row>
    <row r="23" spans="2:3" x14ac:dyDescent="0.25">
      <c r="B23" s="1">
        <v>41852</v>
      </c>
      <c r="C23">
        <v>14481.6</v>
      </c>
    </row>
    <row r="24" spans="2:3" x14ac:dyDescent="0.25">
      <c r="B24" s="1">
        <v>41883</v>
      </c>
      <c r="C24">
        <v>15275.8</v>
      </c>
    </row>
    <row r="25" spans="2:3" x14ac:dyDescent="0.25">
      <c r="B25" s="1">
        <v>41913</v>
      </c>
      <c r="C25">
        <v>15292.8</v>
      </c>
    </row>
    <row r="26" spans="2:3" x14ac:dyDescent="0.25">
      <c r="B26" s="1">
        <v>41944</v>
      </c>
      <c r="C26">
        <v>13544.7</v>
      </c>
    </row>
    <row r="27" spans="2:3" x14ac:dyDescent="0.25">
      <c r="B27" s="1">
        <v>41974</v>
      </c>
      <c r="C27">
        <v>14436.3</v>
      </c>
    </row>
    <row r="28" spans="2:3" x14ac:dyDescent="0.25">
      <c r="B28" s="1">
        <v>42005</v>
      </c>
      <c r="C28">
        <v>13244.9</v>
      </c>
    </row>
    <row r="29" spans="2:3" x14ac:dyDescent="0.25">
      <c r="B29" s="1">
        <v>42036</v>
      </c>
      <c r="C29">
        <v>12172.8</v>
      </c>
    </row>
    <row r="30" spans="2:3" x14ac:dyDescent="0.25">
      <c r="B30" s="1">
        <v>42064</v>
      </c>
      <c r="C30">
        <v>13634</v>
      </c>
    </row>
    <row r="31" spans="2:3" x14ac:dyDescent="0.25">
      <c r="B31" s="1">
        <v>42095</v>
      </c>
      <c r="C31">
        <v>13104.6</v>
      </c>
    </row>
    <row r="32" spans="2:3" x14ac:dyDescent="0.25">
      <c r="B32" s="1">
        <v>42125</v>
      </c>
      <c r="C32">
        <v>12754.7</v>
      </c>
    </row>
    <row r="33" spans="2:3" x14ac:dyDescent="0.25">
      <c r="B33" s="1">
        <v>42156</v>
      </c>
      <c r="C33">
        <v>13514.1</v>
      </c>
    </row>
    <row r="34" spans="2:3" x14ac:dyDescent="0.25">
      <c r="B34" s="1">
        <v>42186</v>
      </c>
      <c r="C34">
        <v>11465.8</v>
      </c>
    </row>
    <row r="35" spans="2:3" x14ac:dyDescent="0.25">
      <c r="B35" s="1">
        <v>42217</v>
      </c>
      <c r="C35">
        <v>12726</v>
      </c>
    </row>
    <row r="36" spans="2:3" x14ac:dyDescent="0.25">
      <c r="B36" s="1">
        <v>42248</v>
      </c>
      <c r="C36">
        <v>12588.4</v>
      </c>
    </row>
    <row r="37" spans="2:3" x14ac:dyDescent="0.25">
      <c r="B37" s="1">
        <v>42278</v>
      </c>
      <c r="C37">
        <v>12121.7</v>
      </c>
    </row>
    <row r="38" spans="2:3" x14ac:dyDescent="0.25">
      <c r="B38" s="1">
        <v>42309</v>
      </c>
      <c r="C38">
        <v>11122.2</v>
      </c>
    </row>
    <row r="39" spans="2:3" x14ac:dyDescent="0.25">
      <c r="B39" s="1">
        <v>42339</v>
      </c>
      <c r="C39">
        <v>11917.1</v>
      </c>
    </row>
    <row r="40" spans="2:3" x14ac:dyDescent="0.25">
      <c r="B40" s="1">
        <v>42370</v>
      </c>
      <c r="C40">
        <v>10581.9</v>
      </c>
    </row>
    <row r="41" spans="2:3" x14ac:dyDescent="0.25">
      <c r="B41" s="1">
        <v>42401</v>
      </c>
      <c r="C41">
        <v>11316.7</v>
      </c>
    </row>
    <row r="42" spans="2:3" x14ac:dyDescent="0.25">
      <c r="B42" s="1">
        <v>42430</v>
      </c>
      <c r="C42">
        <v>11812.1</v>
      </c>
    </row>
    <row r="43" spans="2:3" x14ac:dyDescent="0.25">
      <c r="B43" s="1">
        <v>42461</v>
      </c>
      <c r="C43">
        <v>11689.7</v>
      </c>
    </row>
    <row r="44" spans="2:3" x14ac:dyDescent="0.25">
      <c r="B44" s="1">
        <v>42491</v>
      </c>
      <c r="C44">
        <v>11517.4</v>
      </c>
    </row>
    <row r="45" spans="2:3" x14ac:dyDescent="0.25">
      <c r="B45" s="1">
        <v>42522</v>
      </c>
      <c r="C45">
        <v>13206.1</v>
      </c>
    </row>
    <row r="46" spans="2:3" x14ac:dyDescent="0.25">
      <c r="B46" s="1">
        <v>42552</v>
      </c>
      <c r="C46">
        <v>9649.5</v>
      </c>
    </row>
    <row r="47" spans="2:3" x14ac:dyDescent="0.25">
      <c r="B47" s="1">
        <v>42583</v>
      </c>
      <c r="C47">
        <v>12701.7</v>
      </c>
    </row>
    <row r="48" spans="2:3" x14ac:dyDescent="0.25">
      <c r="B48" s="1">
        <v>42614</v>
      </c>
      <c r="C48">
        <v>12579.8</v>
      </c>
    </row>
    <row r="49" spans="2:3" x14ac:dyDescent="0.25">
      <c r="B49" s="1">
        <v>42644</v>
      </c>
      <c r="C49">
        <v>12743.7</v>
      </c>
    </row>
    <row r="50" spans="2:3" x14ac:dyDescent="0.25">
      <c r="B50" s="1">
        <v>42675</v>
      </c>
      <c r="C50">
        <v>13502.9</v>
      </c>
    </row>
    <row r="51" spans="2:3" x14ac:dyDescent="0.25">
      <c r="B51" s="1">
        <v>42705</v>
      </c>
      <c r="C51">
        <v>13832.4</v>
      </c>
    </row>
    <row r="52" spans="2:3" x14ac:dyDescent="0.25">
      <c r="B52" s="1">
        <v>42736</v>
      </c>
      <c r="C52">
        <v>13397.7</v>
      </c>
    </row>
    <row r="53" spans="2:3" x14ac:dyDescent="0.25">
      <c r="B53" s="1">
        <v>42767</v>
      </c>
      <c r="C53">
        <v>12616</v>
      </c>
    </row>
    <row r="54" spans="2:3" x14ac:dyDescent="0.25">
      <c r="B54" s="1">
        <v>42795</v>
      </c>
      <c r="C54">
        <v>14718.5</v>
      </c>
    </row>
    <row r="55" spans="2:3" x14ac:dyDescent="0.25">
      <c r="B55" s="1">
        <v>42826</v>
      </c>
      <c r="C55">
        <v>13269.7</v>
      </c>
    </row>
    <row r="56" spans="2:3" x14ac:dyDescent="0.25">
      <c r="B56" s="1">
        <v>42856</v>
      </c>
      <c r="C56">
        <v>14333.9</v>
      </c>
    </row>
    <row r="57" spans="2:3" x14ac:dyDescent="0.25">
      <c r="B57" s="1">
        <v>42887</v>
      </c>
      <c r="C57">
        <v>11661.4</v>
      </c>
    </row>
    <row r="58" spans="2:3" x14ac:dyDescent="0.25">
      <c r="B58" s="1">
        <v>42917</v>
      </c>
      <c r="C58">
        <v>13611.1</v>
      </c>
    </row>
    <row r="59" spans="2:3" x14ac:dyDescent="0.25">
      <c r="B59" s="1">
        <v>42948</v>
      </c>
      <c r="C59">
        <v>15188</v>
      </c>
    </row>
    <row r="60" spans="2:3" x14ac:dyDescent="0.25">
      <c r="B60" s="1">
        <v>42979</v>
      </c>
      <c r="C60">
        <v>14580.2</v>
      </c>
    </row>
    <row r="61" spans="2:3" x14ac:dyDescent="0.25">
      <c r="B61" s="1">
        <v>43009</v>
      </c>
      <c r="C61">
        <v>15252.6</v>
      </c>
    </row>
    <row r="62" spans="2:3" x14ac:dyDescent="0.25">
      <c r="B62" s="1">
        <v>43040</v>
      </c>
      <c r="C62">
        <v>15334.7</v>
      </c>
    </row>
    <row r="63" spans="2:3" x14ac:dyDescent="0.25">
      <c r="B63" s="1">
        <v>43070</v>
      </c>
      <c r="C63">
        <v>14864.5</v>
      </c>
    </row>
    <row r="64" spans="2:3" x14ac:dyDescent="0.25">
      <c r="B64" s="1">
        <v>43101</v>
      </c>
      <c r="C64">
        <v>14576.3</v>
      </c>
    </row>
    <row r="65" spans="2:10" x14ac:dyDescent="0.25">
      <c r="B65" s="1">
        <v>43132</v>
      </c>
      <c r="C65">
        <v>14132.4</v>
      </c>
    </row>
    <row r="66" spans="2:10" x14ac:dyDescent="0.25">
      <c r="B66" s="1">
        <v>43160</v>
      </c>
      <c r="C66">
        <v>15510.6</v>
      </c>
    </row>
    <row r="67" spans="2:10" x14ac:dyDescent="0.25">
      <c r="B67" s="1">
        <v>43191</v>
      </c>
      <c r="C67">
        <v>14496.2</v>
      </c>
    </row>
    <row r="68" spans="2:10" x14ac:dyDescent="0.25">
      <c r="B68" s="1">
        <v>43221</v>
      </c>
      <c r="C68">
        <v>16198.3</v>
      </c>
    </row>
    <row r="69" spans="2:10" x14ac:dyDescent="0.25">
      <c r="B69" s="1">
        <v>43252</v>
      </c>
      <c r="C69">
        <v>12941.7</v>
      </c>
      <c r="F69" s="1">
        <v>43466</v>
      </c>
      <c r="G69">
        <v>14028.1</v>
      </c>
      <c r="I69" s="1">
        <v>43831</v>
      </c>
      <c r="J69">
        <v>14028.1</v>
      </c>
    </row>
    <row r="70" spans="2:10" x14ac:dyDescent="0.25">
      <c r="B70" s="1">
        <v>43282</v>
      </c>
      <c r="C70">
        <v>16284.7</v>
      </c>
      <c r="F70" s="1">
        <v>43497</v>
      </c>
      <c r="G70">
        <v>12788.6</v>
      </c>
      <c r="I70" s="1">
        <v>43862</v>
      </c>
      <c r="J70">
        <v>12788.6</v>
      </c>
    </row>
    <row r="71" spans="2:10" x14ac:dyDescent="0.25">
      <c r="B71" s="1">
        <v>43313</v>
      </c>
      <c r="C71">
        <v>15865.1</v>
      </c>
      <c r="F71" s="1">
        <v>43525</v>
      </c>
      <c r="G71">
        <v>14447.8</v>
      </c>
      <c r="I71" s="1">
        <v>43891</v>
      </c>
      <c r="J71">
        <v>14447.8</v>
      </c>
    </row>
    <row r="72" spans="2:10" x14ac:dyDescent="0.25">
      <c r="B72" s="1">
        <v>43344</v>
      </c>
      <c r="C72">
        <v>14956.3</v>
      </c>
      <c r="F72" s="1">
        <v>43556</v>
      </c>
      <c r="G72">
        <v>13068.1</v>
      </c>
      <c r="I72" s="1">
        <v>43922</v>
      </c>
      <c r="J72">
        <v>13068.1</v>
      </c>
    </row>
    <row r="73" spans="2:10" x14ac:dyDescent="0.25">
      <c r="B73" s="1">
        <v>43374</v>
      </c>
      <c r="C73">
        <v>15909.1</v>
      </c>
      <c r="F73" s="1">
        <v>43586</v>
      </c>
      <c r="G73">
        <v>14751.9</v>
      </c>
      <c r="I73" s="1">
        <v>43952</v>
      </c>
      <c r="J73">
        <v>14751.9</v>
      </c>
    </row>
    <row r="74" spans="2:10" x14ac:dyDescent="0.25">
      <c r="B74" s="1">
        <v>43405</v>
      </c>
      <c r="C74">
        <v>14851.7</v>
      </c>
      <c r="F74" s="1">
        <v>43617</v>
      </c>
      <c r="G74">
        <v>11763.4</v>
      </c>
      <c r="I74" s="1">
        <v>43983</v>
      </c>
      <c r="J74">
        <v>11763.4</v>
      </c>
    </row>
    <row r="75" spans="2:10" x14ac:dyDescent="0.25">
      <c r="B75" s="1">
        <v>43435</v>
      </c>
      <c r="C75">
        <v>14290.1</v>
      </c>
      <c r="F75" s="1">
        <v>43647</v>
      </c>
      <c r="G75">
        <v>15238.4</v>
      </c>
      <c r="I75" s="1">
        <v>44013</v>
      </c>
      <c r="J75">
        <v>15238.4</v>
      </c>
    </row>
    <row r="76" spans="2:10" x14ac:dyDescent="0.25">
      <c r="B76" s="1">
        <v>43466</v>
      </c>
      <c r="C76">
        <v>14028.1</v>
      </c>
      <c r="F76" s="1">
        <v>43678</v>
      </c>
      <c r="G76">
        <v>14262</v>
      </c>
      <c r="I76" s="1">
        <v>44044</v>
      </c>
      <c r="J76">
        <v>14262</v>
      </c>
    </row>
    <row r="77" spans="2:10" x14ac:dyDescent="0.25">
      <c r="B77" s="1">
        <v>43497</v>
      </c>
      <c r="C77">
        <v>12788.6</v>
      </c>
      <c r="F77" s="1">
        <v>43709</v>
      </c>
      <c r="G77">
        <v>14080.1</v>
      </c>
      <c r="I77" s="1">
        <v>44075</v>
      </c>
      <c r="J77">
        <v>14080.1</v>
      </c>
    </row>
    <row r="78" spans="2:10" x14ac:dyDescent="0.25">
      <c r="B78" s="1">
        <v>43525</v>
      </c>
      <c r="C78">
        <v>14447.8</v>
      </c>
      <c r="F78" s="1">
        <v>43739</v>
      </c>
      <c r="G78">
        <v>14881.5</v>
      </c>
      <c r="I78" s="1">
        <v>44105</v>
      </c>
      <c r="J78">
        <v>14881.5</v>
      </c>
    </row>
    <row r="79" spans="2:10" x14ac:dyDescent="0.25">
      <c r="B79" s="1">
        <v>43556</v>
      </c>
      <c r="C79">
        <v>13068.1</v>
      </c>
      <c r="F79" s="1">
        <v>43770</v>
      </c>
      <c r="G79">
        <v>13944.5</v>
      </c>
      <c r="I79" s="1">
        <v>44136</v>
      </c>
      <c r="J79">
        <v>13944.5</v>
      </c>
    </row>
    <row r="80" spans="2:10" x14ac:dyDescent="0.25">
      <c r="B80" s="1">
        <v>43586</v>
      </c>
      <c r="C80">
        <v>14751.9</v>
      </c>
      <c r="F80" s="1">
        <v>43800</v>
      </c>
      <c r="G80">
        <v>14428.8</v>
      </c>
      <c r="I80" s="1">
        <v>44166</v>
      </c>
      <c r="J80">
        <v>14428.8</v>
      </c>
    </row>
    <row r="81" spans="2:3" x14ac:dyDescent="0.25">
      <c r="B81" s="1">
        <v>43617</v>
      </c>
      <c r="C81">
        <v>11763.4</v>
      </c>
    </row>
    <row r="82" spans="2:3" x14ac:dyDescent="0.25">
      <c r="B82" s="1">
        <v>43647</v>
      </c>
      <c r="C82">
        <v>15238.4</v>
      </c>
    </row>
    <row r="83" spans="2:3" x14ac:dyDescent="0.25">
      <c r="B83" s="1">
        <v>43678</v>
      </c>
      <c r="C83">
        <v>14262</v>
      </c>
    </row>
    <row r="84" spans="2:3" x14ac:dyDescent="0.25">
      <c r="B84" s="1">
        <v>43709</v>
      </c>
      <c r="C84">
        <v>14080.1</v>
      </c>
    </row>
    <row r="85" spans="2:3" x14ac:dyDescent="0.25">
      <c r="B85" s="1">
        <v>43739</v>
      </c>
      <c r="C85">
        <v>14881.5</v>
      </c>
    </row>
    <row r="86" spans="2:3" x14ac:dyDescent="0.25">
      <c r="B86" s="1">
        <v>43770</v>
      </c>
      <c r="C86">
        <v>13944.5</v>
      </c>
    </row>
    <row r="87" spans="2:3" x14ac:dyDescent="0.25">
      <c r="B87" s="1">
        <v>43800</v>
      </c>
      <c r="C87">
        <v>14428.8</v>
      </c>
    </row>
    <row r="88" spans="2:3" x14ac:dyDescent="0.25">
      <c r="B88" s="1">
        <v>43831</v>
      </c>
      <c r="C88">
        <v>14028.1</v>
      </c>
    </row>
    <row r="89" spans="2:3" x14ac:dyDescent="0.25">
      <c r="B89" s="1">
        <v>43862</v>
      </c>
      <c r="C89">
        <v>12788.6</v>
      </c>
    </row>
    <row r="90" spans="2:3" x14ac:dyDescent="0.25">
      <c r="B90" s="1">
        <v>43891</v>
      </c>
      <c r="C90">
        <v>14447.8</v>
      </c>
    </row>
    <row r="91" spans="2:3" x14ac:dyDescent="0.25">
      <c r="B91" s="1">
        <v>43922</v>
      </c>
      <c r="C91">
        <v>13068.1</v>
      </c>
    </row>
    <row r="92" spans="2:3" x14ac:dyDescent="0.25">
      <c r="B92" s="1">
        <v>43952</v>
      </c>
      <c r="C92">
        <v>14751.9</v>
      </c>
    </row>
    <row r="93" spans="2:3" x14ac:dyDescent="0.25">
      <c r="B93" s="1">
        <v>43983</v>
      </c>
      <c r="C93">
        <v>11763.4</v>
      </c>
    </row>
    <row r="94" spans="2:3" x14ac:dyDescent="0.25">
      <c r="B94" s="1">
        <v>44013</v>
      </c>
      <c r="C94">
        <v>15238.4</v>
      </c>
    </row>
    <row r="95" spans="2:3" x14ac:dyDescent="0.25">
      <c r="B95" s="1">
        <v>44044</v>
      </c>
      <c r="C95">
        <v>14262</v>
      </c>
    </row>
    <row r="96" spans="2:3" x14ac:dyDescent="0.25">
      <c r="B96" s="1">
        <v>44075</v>
      </c>
      <c r="C96">
        <v>14080.1</v>
      </c>
    </row>
    <row r="97" spans="2:3" x14ac:dyDescent="0.25">
      <c r="B97" s="1">
        <v>44105</v>
      </c>
      <c r="C97">
        <v>14881.5</v>
      </c>
    </row>
    <row r="98" spans="2:3" x14ac:dyDescent="0.25">
      <c r="B98" s="1">
        <v>44136</v>
      </c>
      <c r="C98">
        <v>13944.5</v>
      </c>
    </row>
    <row r="99" spans="2:3" x14ac:dyDescent="0.25">
      <c r="B99" s="1">
        <v>44166</v>
      </c>
      <c r="C99">
        <v>14428.8</v>
      </c>
    </row>
    <row r="100" spans="2:3" x14ac:dyDescent="0.25">
      <c r="B100" s="1">
        <v>44197</v>
      </c>
      <c r="C100">
        <v>13636.4</v>
      </c>
    </row>
    <row r="101" spans="2:3" x14ac:dyDescent="0.25">
      <c r="B101" s="1">
        <v>44228</v>
      </c>
      <c r="C101">
        <v>14042.1</v>
      </c>
    </row>
    <row r="102" spans="2:3" x14ac:dyDescent="0.25">
      <c r="B102" s="1">
        <v>44256</v>
      </c>
      <c r="C102">
        <v>14031.3</v>
      </c>
    </row>
    <row r="103" spans="2:3" x14ac:dyDescent="0.25">
      <c r="B103" s="1">
        <v>44287</v>
      </c>
      <c r="C103">
        <v>12159.8</v>
      </c>
    </row>
    <row r="104" spans="2:3" x14ac:dyDescent="0.25">
      <c r="B104" s="1">
        <v>44317</v>
      </c>
      <c r="C104">
        <v>10452.6</v>
      </c>
    </row>
    <row r="105" spans="2:3" x14ac:dyDescent="0.25">
      <c r="B105" s="1">
        <v>44348</v>
      </c>
      <c r="C105">
        <v>12006.8</v>
      </c>
    </row>
    <row r="106" spans="2:3" x14ac:dyDescent="0.25">
      <c r="B106" s="1">
        <v>44378</v>
      </c>
      <c r="C106">
        <v>13689.9</v>
      </c>
    </row>
    <row r="107" spans="2:3" x14ac:dyDescent="0.25">
      <c r="B107" s="1">
        <v>44409</v>
      </c>
      <c r="C107">
        <v>13055.3</v>
      </c>
    </row>
    <row r="108" spans="2:3" x14ac:dyDescent="0.25">
      <c r="B108" s="1">
        <v>44440</v>
      </c>
      <c r="C108">
        <v>13956.2</v>
      </c>
    </row>
    <row r="109" spans="2:3" x14ac:dyDescent="0.25">
      <c r="B109" s="1">
        <v>44470</v>
      </c>
      <c r="C109">
        <v>14363.4</v>
      </c>
    </row>
    <row r="110" spans="2:3" x14ac:dyDescent="0.25">
      <c r="B110" s="1">
        <v>44501</v>
      </c>
      <c r="C110">
        <v>15258.4</v>
      </c>
    </row>
    <row r="111" spans="2:3" x14ac:dyDescent="0.25">
      <c r="B111" s="1">
        <v>44531</v>
      </c>
      <c r="C111">
        <v>16539.599999999999</v>
      </c>
    </row>
    <row r="112" spans="2:3" x14ac:dyDescent="0.25">
      <c r="B112" s="1">
        <v>44562</v>
      </c>
      <c r="C112">
        <v>15300.2</v>
      </c>
    </row>
    <row r="113" spans="2:3" x14ac:dyDescent="0.25">
      <c r="B113" s="1">
        <v>44593</v>
      </c>
      <c r="C113">
        <v>15255.4</v>
      </c>
    </row>
    <row r="114" spans="2:3" x14ac:dyDescent="0.25">
      <c r="B114" s="1">
        <v>44621</v>
      </c>
      <c r="C114">
        <v>18398.400000000001</v>
      </c>
    </row>
    <row r="115" spans="2:3" x14ac:dyDescent="0.25">
      <c r="B115" s="1">
        <v>44652</v>
      </c>
      <c r="C115">
        <v>18474.099999999999</v>
      </c>
    </row>
    <row r="116" spans="2:3" x14ac:dyDescent="0.25">
      <c r="B116" s="1">
        <v>44682</v>
      </c>
      <c r="C116">
        <v>16908</v>
      </c>
    </row>
    <row r="117" spans="2:3" x14ac:dyDescent="0.25">
      <c r="B117" s="1">
        <v>44713</v>
      </c>
      <c r="C117">
        <v>18547.8</v>
      </c>
    </row>
    <row r="118" spans="2:3" x14ac:dyDescent="0.25">
      <c r="B118" s="1">
        <v>44743</v>
      </c>
      <c r="C118">
        <v>19369.599999999999</v>
      </c>
    </row>
    <row r="119" spans="2:3" x14ac:dyDescent="0.25">
      <c r="B119" s="1">
        <v>44774</v>
      </c>
      <c r="C119">
        <v>21443.200000000001</v>
      </c>
    </row>
    <row r="120" spans="2:3" x14ac:dyDescent="0.25">
      <c r="B120" s="1">
        <v>44805</v>
      </c>
      <c r="C120">
        <v>20618.8</v>
      </c>
    </row>
    <row r="121" spans="2:3" x14ac:dyDescent="0.25">
      <c r="B121" s="1">
        <v>44835</v>
      </c>
      <c r="C121">
        <v>22091</v>
      </c>
    </row>
    <row r="122" spans="2:3" x14ac:dyDescent="0.25">
      <c r="B122" s="1">
        <v>44866</v>
      </c>
      <c r="C122">
        <v>22845.4</v>
      </c>
    </row>
    <row r="123" spans="2:3" x14ac:dyDescent="0.25">
      <c r="B123" s="1">
        <v>44896</v>
      </c>
      <c r="C123">
        <v>22357.7</v>
      </c>
    </row>
    <row r="124" spans="2:3" x14ac:dyDescent="0.25">
      <c r="B124" s="1">
        <v>44927</v>
      </c>
      <c r="C124">
        <v>22320.7</v>
      </c>
    </row>
    <row r="125" spans="2:3" x14ac:dyDescent="0.25">
      <c r="B125" s="1">
        <v>44958</v>
      </c>
      <c r="C125">
        <v>21319.7</v>
      </c>
    </row>
    <row r="126" spans="2:3" x14ac:dyDescent="0.25">
      <c r="B126" s="1">
        <v>44986</v>
      </c>
      <c r="C126">
        <v>23413.9</v>
      </c>
    </row>
    <row r="127" spans="2:3" x14ac:dyDescent="0.25">
      <c r="B127" s="1">
        <v>45017</v>
      </c>
      <c r="C127">
        <v>19280.400000000001</v>
      </c>
    </row>
    <row r="128" spans="2:3" x14ac:dyDescent="0.25">
      <c r="B128" s="1">
        <v>45047</v>
      </c>
      <c r="C128">
        <v>21706.5</v>
      </c>
    </row>
    <row r="129" spans="2:3" x14ac:dyDescent="0.25">
      <c r="B129" s="1">
        <v>45078</v>
      </c>
      <c r="C129">
        <v>20599</v>
      </c>
    </row>
    <row r="130" spans="2:3" x14ac:dyDescent="0.25">
      <c r="B130" s="1">
        <v>45108</v>
      </c>
      <c r="C130">
        <v>20861.3</v>
      </c>
    </row>
    <row r="131" spans="2:3" x14ac:dyDescent="0.25">
      <c r="B131" s="1">
        <v>45139</v>
      </c>
      <c r="C131">
        <v>21996.3</v>
      </c>
    </row>
    <row r="132" spans="2:3" x14ac:dyDescent="0.25">
      <c r="B132" s="1">
        <v>45170</v>
      </c>
      <c r="C132">
        <v>20744.900000000001</v>
      </c>
    </row>
    <row r="133" spans="2:3" x14ac:dyDescent="0.25">
      <c r="B133" s="1">
        <v>45200</v>
      </c>
      <c r="C133">
        <v>22144.5</v>
      </c>
    </row>
    <row r="134" spans="2:3" x14ac:dyDescent="0.25">
      <c r="B134" s="1">
        <v>45231</v>
      </c>
      <c r="C134">
        <v>21995.9</v>
      </c>
    </row>
    <row r="135" spans="2:3" x14ac:dyDescent="0.25">
      <c r="B135" s="1">
        <v>45261</v>
      </c>
      <c r="C135">
        <v>22391.200000000001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43"/>
  <sheetViews>
    <sheetView topLeftCell="A131" workbookViewId="0">
      <selection activeCell="A23" sqref="A23:B141"/>
    </sheetView>
  </sheetViews>
  <sheetFormatPr defaultRowHeight="15" x14ac:dyDescent="0.25"/>
  <cols>
    <col min="8" max="8" width="11.7109375" bestFit="1" customWidth="1"/>
    <col min="9" max="9" width="32.5703125" customWidth="1"/>
    <col min="11" max="11" width="12" bestFit="1" customWidth="1"/>
    <col min="13" max="13" width="12.7109375" bestFit="1" customWidth="1"/>
    <col min="15" max="15" width="12" bestFit="1" customWidth="1"/>
  </cols>
  <sheetData>
    <row r="1" spans="2:18" x14ac:dyDescent="0.25">
      <c r="I1" t="s">
        <v>3</v>
      </c>
    </row>
    <row r="2" spans="2:18" x14ac:dyDescent="0.25">
      <c r="E2" t="s">
        <v>63</v>
      </c>
      <c r="F2">
        <f>_xlfn.CHISQ.DIST.RT(G5,2)</f>
        <v>0.66157575566106352</v>
      </c>
      <c r="G2" t="s">
        <v>64</v>
      </c>
      <c r="H2" s="7"/>
      <c r="I2">
        <f>SQRT(K143)</f>
        <v>1148.8078417276861</v>
      </c>
    </row>
    <row r="3" spans="2:18" x14ac:dyDescent="0.25">
      <c r="C3" t="s">
        <v>40</v>
      </c>
    </row>
    <row r="4" spans="2:18" x14ac:dyDescent="0.25">
      <c r="C4" t="s">
        <v>41</v>
      </c>
      <c r="D4">
        <v>119</v>
      </c>
      <c r="G4">
        <f>(D5^2)/6</f>
        <v>6.9710914728600007E-3</v>
      </c>
      <c r="H4">
        <f>(D6^3)/24</f>
        <v>-2.7717003035046978E-5</v>
      </c>
      <c r="I4" t="s">
        <v>61</v>
      </c>
      <c r="J4">
        <v>5.9909999999999997</v>
      </c>
      <c r="M4" t="s">
        <v>60</v>
      </c>
    </row>
    <row r="5" spans="2:18" x14ac:dyDescent="0.25">
      <c r="C5" t="s">
        <v>11</v>
      </c>
      <c r="D5" s="4">
        <v>-0.20451540000000001</v>
      </c>
      <c r="F5" t="s">
        <v>62</v>
      </c>
      <c r="G5">
        <f>D4*(G4+H4)</f>
        <v>0.82626156190916944</v>
      </c>
    </row>
    <row r="6" spans="2:18" x14ac:dyDescent="0.25">
      <c r="C6" t="s">
        <v>12</v>
      </c>
      <c r="D6">
        <v>-8.7294289999999997E-2</v>
      </c>
    </row>
    <row r="9" spans="2:18" x14ac:dyDescent="0.25">
      <c r="B9" s="3" t="s">
        <v>42</v>
      </c>
    </row>
    <row r="10" spans="2:18" x14ac:dyDescent="0.25">
      <c r="B10" s="4"/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</row>
    <row r="11" spans="2:18" x14ac:dyDescent="0.25">
      <c r="B11" s="4">
        <v>2013</v>
      </c>
      <c r="C11">
        <v>15.375489</v>
      </c>
      <c r="D11">
        <v>-298.38213200000001</v>
      </c>
      <c r="E11">
        <v>-180.43106399999999</v>
      </c>
      <c r="F11">
        <v>-323.49904800000002</v>
      </c>
      <c r="G11">
        <v>1206.0299970000001</v>
      </c>
      <c r="H11">
        <v>-535.87204399999996</v>
      </c>
      <c r="I11">
        <v>-284.99084699999997</v>
      </c>
      <c r="J11">
        <v>-2063.3327159999999</v>
      </c>
      <c r="K11">
        <v>377.96136300000001</v>
      </c>
      <c r="L11">
        <v>1700.591175</v>
      </c>
      <c r="M11">
        <v>1234.0127190000001</v>
      </c>
      <c r="N11">
        <v>1425.9705120000001</v>
      </c>
      <c r="Q11" t="s">
        <v>55</v>
      </c>
      <c r="R11">
        <f>AVERAGE(C11:N20)</f>
        <v>102.67437027731094</v>
      </c>
    </row>
    <row r="12" spans="2:18" x14ac:dyDescent="0.25">
      <c r="B12" s="4">
        <v>2014</v>
      </c>
      <c r="C12">
        <v>-1870.776143</v>
      </c>
      <c r="D12">
        <v>-1350.1171139999999</v>
      </c>
      <c r="E12">
        <v>126.713989</v>
      </c>
      <c r="F12">
        <v>-512.67709300000001</v>
      </c>
      <c r="G12">
        <v>176.807275</v>
      </c>
      <c r="H12">
        <v>814.71658300000001</v>
      </c>
      <c r="I12">
        <v>-808.36407299999996</v>
      </c>
      <c r="J12">
        <v>-340.945896</v>
      </c>
      <c r="K12">
        <v>761.54261199999996</v>
      </c>
      <c r="L12">
        <v>577.99916700000006</v>
      </c>
      <c r="M12">
        <v>-1554.2995209999999</v>
      </c>
      <c r="N12">
        <v>-226.59317300000001</v>
      </c>
    </row>
    <row r="13" spans="2:18" x14ac:dyDescent="0.25">
      <c r="B13" s="4">
        <v>2015</v>
      </c>
      <c r="C13">
        <v>-981.85514000000001</v>
      </c>
      <c r="D13">
        <v>-1643.926843</v>
      </c>
      <c r="E13">
        <v>640.76977199999999</v>
      </c>
      <c r="F13">
        <v>251.18350699999999</v>
      </c>
      <c r="G13">
        <v>-336.12383799999998</v>
      </c>
      <c r="H13">
        <v>488.89444300000002</v>
      </c>
      <c r="I13">
        <v>-1661.492536</v>
      </c>
      <c r="J13">
        <v>94.213282000000007</v>
      </c>
      <c r="K13">
        <v>299.98677199999997</v>
      </c>
      <c r="L13">
        <v>-297.66960599999999</v>
      </c>
      <c r="M13">
        <v>-1256.688643</v>
      </c>
      <c r="N13">
        <v>64.751110999999995</v>
      </c>
    </row>
    <row r="14" spans="2:18" x14ac:dyDescent="0.25">
      <c r="B14" s="4">
        <v>2016</v>
      </c>
      <c r="C14">
        <v>-1008.358125</v>
      </c>
      <c r="D14">
        <v>79.904283000000007</v>
      </c>
      <c r="E14">
        <v>775.39916600000004</v>
      </c>
      <c r="F14">
        <v>351.70744999999999</v>
      </c>
      <c r="G14">
        <v>-125.31522</v>
      </c>
      <c r="H14">
        <v>1529.1737189999999</v>
      </c>
      <c r="I14">
        <v>-2557.2852029999999</v>
      </c>
      <c r="J14">
        <v>1080.9756299999999</v>
      </c>
      <c r="K14">
        <v>1145.8261199999999</v>
      </c>
      <c r="L14">
        <v>645.56549800000005</v>
      </c>
      <c r="M14">
        <v>908.52149499999996</v>
      </c>
      <c r="N14">
        <v>759.50791900000002</v>
      </c>
    </row>
    <row r="15" spans="2:18" x14ac:dyDescent="0.25">
      <c r="B15" s="4">
        <v>2017</v>
      </c>
      <c r="C15">
        <v>-159.08422999999999</v>
      </c>
      <c r="D15">
        <v>-1055.3867789999999</v>
      </c>
      <c r="E15">
        <v>1468.6408280000001</v>
      </c>
      <c r="F15">
        <v>-276.44498800000002</v>
      </c>
      <c r="G15">
        <v>554.76907100000005</v>
      </c>
      <c r="H15">
        <v>-2257.4401039999998</v>
      </c>
      <c r="I15">
        <v>390.38794200000001</v>
      </c>
      <c r="J15">
        <v>2338.018986</v>
      </c>
      <c r="K15">
        <v>787.76839700000005</v>
      </c>
      <c r="L15">
        <v>640.93229799999995</v>
      </c>
      <c r="M15">
        <v>309.891682</v>
      </c>
      <c r="N15">
        <v>-419.18891200000002</v>
      </c>
    </row>
    <row r="16" spans="2:18" x14ac:dyDescent="0.25">
      <c r="B16" s="4">
        <v>2018</v>
      </c>
      <c r="C16">
        <v>-624.78931499999999</v>
      </c>
      <c r="D16">
        <v>-745.24702300000001</v>
      </c>
      <c r="E16">
        <v>1047.1257619999999</v>
      </c>
      <c r="F16">
        <v>-180.167507</v>
      </c>
      <c r="G16">
        <v>1349.6324219999999</v>
      </c>
      <c r="H16">
        <v>-2358.7982630000001</v>
      </c>
      <c r="I16">
        <v>1538.610766</v>
      </c>
      <c r="J16">
        <v>1093.533529</v>
      </c>
      <c r="K16">
        <v>-564.38592700000004</v>
      </c>
      <c r="L16">
        <v>345.85310299999998</v>
      </c>
      <c r="M16">
        <v>-709.50476100000003</v>
      </c>
      <c r="N16">
        <v>-1090.6778079999999</v>
      </c>
    </row>
    <row r="17" spans="1:15" x14ac:dyDescent="0.25">
      <c r="B17" s="4">
        <v>2019</v>
      </c>
      <c r="C17">
        <v>-793.11505899999997</v>
      </c>
      <c r="D17">
        <v>-1495.034917</v>
      </c>
      <c r="E17">
        <v>890.38246700000002</v>
      </c>
      <c r="F17">
        <v>-474.49922900000001</v>
      </c>
      <c r="G17">
        <v>1180.1096930000001</v>
      </c>
      <c r="H17">
        <v>-2131.4003819999998</v>
      </c>
      <c r="I17">
        <v>1853.5225809999999</v>
      </c>
      <c r="J17">
        <v>684.957132</v>
      </c>
      <c r="K17">
        <v>-168.47913600000001</v>
      </c>
      <c r="L17">
        <v>538.69933200000003</v>
      </c>
      <c r="M17">
        <v>-556.69046600000001</v>
      </c>
      <c r="N17">
        <v>8.3914539999999995</v>
      </c>
    </row>
    <row r="18" spans="1:15" x14ac:dyDescent="0.25">
      <c r="B18" s="4">
        <v>2020</v>
      </c>
      <c r="C18">
        <v>-268.79772700000001</v>
      </c>
      <c r="D18">
        <v>-1412.058759</v>
      </c>
      <c r="E18">
        <v>823.84715600000004</v>
      </c>
      <c r="F18">
        <v>-535.60660299999995</v>
      </c>
      <c r="G18">
        <v>1156.442787</v>
      </c>
      <c r="H18">
        <v>-2132.5317230000001</v>
      </c>
      <c r="I18">
        <v>1858.1854780000001</v>
      </c>
      <c r="J18">
        <v>688.17468499999995</v>
      </c>
      <c r="K18">
        <v>-167.496622</v>
      </c>
      <c r="L18">
        <v>538.59152200000005</v>
      </c>
      <c r="M18">
        <v>-556.98230599999999</v>
      </c>
      <c r="N18">
        <v>8.2306869999999996</v>
      </c>
    </row>
    <row r="19" spans="1:15" x14ac:dyDescent="0.25">
      <c r="B19" s="4">
        <v>2021</v>
      </c>
      <c r="C19">
        <v>-660.53343600000005</v>
      </c>
      <c r="D19">
        <v>-15.522259999999999</v>
      </c>
      <c r="E19">
        <v>129.53104300000001</v>
      </c>
      <c r="F19">
        <v>-1785.735723</v>
      </c>
      <c r="G19">
        <v>-2870.3560859999998</v>
      </c>
      <c r="H19">
        <v>137.92886200000001</v>
      </c>
      <c r="I19">
        <v>2423.2998830000001</v>
      </c>
      <c r="J19">
        <v>872.51208899999995</v>
      </c>
      <c r="K19">
        <v>903.84293300000002</v>
      </c>
      <c r="L19">
        <v>782.63676499999997</v>
      </c>
      <c r="M19">
        <v>1186.3632749999999</v>
      </c>
      <c r="N19">
        <v>1856.4345619999999</v>
      </c>
    </row>
    <row r="20" spans="1:15" x14ac:dyDescent="0.25">
      <c r="B20" s="4">
        <v>2022</v>
      </c>
      <c r="C20">
        <v>-330.55469799999997</v>
      </c>
      <c r="D20">
        <v>-676.75613099999998</v>
      </c>
      <c r="E20">
        <v>2788.5081850000001</v>
      </c>
      <c r="F20">
        <v>1999.9058500000001</v>
      </c>
      <c r="G20">
        <v>-930.44951100000003</v>
      </c>
      <c r="H20">
        <v>594.36938599999996</v>
      </c>
      <c r="I20">
        <v>1410.7019600000001</v>
      </c>
      <c r="J20">
        <v>2834.0661679999998</v>
      </c>
      <c r="K20">
        <v>654.10336600000005</v>
      </c>
      <c r="L20">
        <v>1243.086446</v>
      </c>
      <c r="M20">
        <v>1394.870891</v>
      </c>
    </row>
    <row r="21" spans="1:15" x14ac:dyDescent="0.25">
      <c r="B21" s="4"/>
    </row>
    <row r="22" spans="1:15" x14ac:dyDescent="0.25">
      <c r="B22" s="4"/>
    </row>
    <row r="23" spans="1:15" x14ac:dyDescent="0.25">
      <c r="A23" s="1">
        <v>41275</v>
      </c>
      <c r="B23">
        <v>15.375489</v>
      </c>
      <c r="E23" t="s">
        <v>55</v>
      </c>
      <c r="F23">
        <f>AVERAGE(B23:B141)</f>
        <v>102.67437027731094</v>
      </c>
      <c r="H23" t="s">
        <v>6</v>
      </c>
      <c r="I23">
        <f>B23-F$23</f>
        <v>-87.29888127731094</v>
      </c>
      <c r="J23" t="s">
        <v>7</v>
      </c>
      <c r="K23">
        <f>I23^2</f>
        <v>7621.094672270031</v>
      </c>
      <c r="L23" t="s">
        <v>56</v>
      </c>
      <c r="M23">
        <f>I23^3</f>
        <v>-665313.0389976484</v>
      </c>
      <c r="N23" t="s">
        <v>57</v>
      </c>
      <c r="O23">
        <f>I23^4</f>
        <v>58081084.003702648</v>
      </c>
    </row>
    <row r="24" spans="1:15" x14ac:dyDescent="0.25">
      <c r="B24">
        <v>-298.38213200000001</v>
      </c>
      <c r="I24">
        <f t="shared" ref="I24:I87" si="0">B24-F$23</f>
        <v>-401.05650227731098</v>
      </c>
      <c r="K24">
        <f t="shared" ref="K24:K87" si="1">I24^2</f>
        <v>160846.31801891074</v>
      </c>
      <c r="M24">
        <f t="shared" ref="M24:M87" si="2">I24^3</f>
        <v>-64508461.708848357</v>
      </c>
      <c r="O24">
        <f t="shared" ref="O24:O87" si="3">I24^4</f>
        <v>25871538020.24057</v>
      </c>
    </row>
    <row r="25" spans="1:15" x14ac:dyDescent="0.25">
      <c r="B25">
        <v>-180.43106399999999</v>
      </c>
      <c r="I25">
        <f t="shared" si="0"/>
        <v>-283.10543427731091</v>
      </c>
      <c r="K25">
        <f t="shared" si="1"/>
        <v>80148.686917344807</v>
      </c>
      <c r="M25">
        <f t="shared" si="2"/>
        <v>-22690528.816491127</v>
      </c>
      <c r="O25">
        <f t="shared" si="3"/>
        <v>6423812014.5745583</v>
      </c>
    </row>
    <row r="26" spans="1:15" x14ac:dyDescent="0.25">
      <c r="B26">
        <v>-323.49904800000002</v>
      </c>
      <c r="I26">
        <f t="shared" si="0"/>
        <v>-426.17341827731093</v>
      </c>
      <c r="K26">
        <f t="shared" si="1"/>
        <v>181623.78244616781</v>
      </c>
      <c r="M26">
        <f t="shared" si="2"/>
        <v>-77403228.20553799</v>
      </c>
      <c r="O26">
        <f t="shared" si="3"/>
        <v>32987198350.052895</v>
      </c>
    </row>
    <row r="27" spans="1:15" x14ac:dyDescent="0.25">
      <c r="B27">
        <v>1206.0299970000001</v>
      </c>
      <c r="I27">
        <f t="shared" si="0"/>
        <v>1103.3556267226891</v>
      </c>
      <c r="K27">
        <f t="shared" si="1"/>
        <v>1217393.6390206181</v>
      </c>
      <c r="M27">
        <f t="shared" si="2"/>
        <v>1343218121.5498092</v>
      </c>
      <c r="O27">
        <f t="shared" si="3"/>
        <v>1482047272327.8628</v>
      </c>
    </row>
    <row r="28" spans="1:15" x14ac:dyDescent="0.25">
      <c r="B28">
        <v>-535.87204399999996</v>
      </c>
      <c r="I28">
        <f t="shared" si="0"/>
        <v>-638.54641427731087</v>
      </c>
      <c r="K28">
        <f t="shared" si="1"/>
        <v>407741.52318641113</v>
      </c>
      <c r="M28">
        <f t="shared" si="2"/>
        <v>-260361887.58265182</v>
      </c>
      <c r="O28">
        <f t="shared" si="3"/>
        <v>166253149730.37463</v>
      </c>
    </row>
    <row r="29" spans="1:15" x14ac:dyDescent="0.25">
      <c r="B29">
        <v>-284.99084699999997</v>
      </c>
      <c r="I29">
        <f t="shared" si="0"/>
        <v>-387.66521727731094</v>
      </c>
      <c r="K29">
        <f t="shared" si="1"/>
        <v>150284.32068666469</v>
      </c>
      <c r="M29">
        <f t="shared" si="2"/>
        <v>-58260003.832368948</v>
      </c>
      <c r="O29">
        <f t="shared" si="3"/>
        <v>22585377044.252274</v>
      </c>
    </row>
    <row r="30" spans="1:15" x14ac:dyDescent="0.25">
      <c r="B30">
        <v>-2063.3327159999999</v>
      </c>
      <c r="I30">
        <f t="shared" si="0"/>
        <v>-2166.0070862773109</v>
      </c>
      <c r="K30">
        <f t="shared" si="1"/>
        <v>4691586.6978035262</v>
      </c>
      <c r="M30">
        <f t="shared" si="2"/>
        <v>-10162010033.326807</v>
      </c>
      <c r="O30">
        <f t="shared" si="3"/>
        <v>22010985743006.996</v>
      </c>
    </row>
    <row r="31" spans="1:15" x14ac:dyDescent="0.25">
      <c r="B31">
        <v>377.96136300000001</v>
      </c>
      <c r="I31">
        <f t="shared" si="0"/>
        <v>275.28699272268909</v>
      </c>
      <c r="K31">
        <f t="shared" si="1"/>
        <v>75782.928362301871</v>
      </c>
      <c r="M31">
        <f t="shared" si="2"/>
        <v>20862054.448577065</v>
      </c>
      <c r="O31">
        <f t="shared" si="3"/>
        <v>5743052231.1657772</v>
      </c>
    </row>
    <row r="32" spans="1:15" x14ac:dyDescent="0.25">
      <c r="B32">
        <v>1700.591175</v>
      </c>
      <c r="I32">
        <f t="shared" si="0"/>
        <v>1597.916804722689</v>
      </c>
      <c r="K32">
        <f t="shared" si="1"/>
        <v>2553338.1148151681</v>
      </c>
      <c r="M32">
        <f t="shared" si="2"/>
        <v>4080021881.8021078</v>
      </c>
      <c r="O32">
        <f t="shared" si="3"/>
        <v>6519535528567.877</v>
      </c>
    </row>
    <row r="33" spans="1:15" x14ac:dyDescent="0.25">
      <c r="B33">
        <v>1234.0127190000001</v>
      </c>
      <c r="I33">
        <f t="shared" si="0"/>
        <v>1131.338348722689</v>
      </c>
      <c r="K33">
        <f t="shared" si="1"/>
        <v>1279926.4592905808</v>
      </c>
      <c r="M33">
        <f t="shared" si="2"/>
        <v>1448029886.9402838</v>
      </c>
      <c r="O33">
        <f t="shared" si="3"/>
        <v>1638211741192.1228</v>
      </c>
    </row>
    <row r="34" spans="1:15" x14ac:dyDescent="0.25">
      <c r="B34">
        <v>1425.9705120000001</v>
      </c>
      <c r="I34">
        <f t="shared" si="0"/>
        <v>1323.2961417226891</v>
      </c>
      <c r="K34">
        <f t="shared" si="1"/>
        <v>1751112.6786981551</v>
      </c>
      <c r="M34">
        <f t="shared" si="2"/>
        <v>2317240651.4429517</v>
      </c>
      <c r="O34">
        <f t="shared" si="3"/>
        <v>3066395613497.4282</v>
      </c>
    </row>
    <row r="35" spans="1:15" x14ac:dyDescent="0.25">
      <c r="A35" s="1">
        <v>41640</v>
      </c>
      <c r="B35">
        <v>-1870.776143</v>
      </c>
      <c r="I35">
        <f t="shared" si="0"/>
        <v>-1973.4505132773111</v>
      </c>
      <c r="K35">
        <f t="shared" si="1"/>
        <v>3894506.9283544826</v>
      </c>
      <c r="M35">
        <f t="shared" si="2"/>
        <v>-7685616696.7231979</v>
      </c>
      <c r="O35">
        <f t="shared" si="3"/>
        <v>15167184215001.066</v>
      </c>
    </row>
    <row r="36" spans="1:15" x14ac:dyDescent="0.25">
      <c r="B36">
        <v>-1350.1171139999999</v>
      </c>
      <c r="I36">
        <f t="shared" si="0"/>
        <v>-1452.7914842773109</v>
      </c>
      <c r="K36">
        <f t="shared" si="1"/>
        <v>2110603.0967886723</v>
      </c>
      <c r="M36">
        <f t="shared" si="2"/>
        <v>-3066266205.7039042</v>
      </c>
      <c r="O36">
        <f t="shared" si="3"/>
        <v>4454645432173.9336</v>
      </c>
    </row>
    <row r="37" spans="1:15" x14ac:dyDescent="0.25">
      <c r="B37">
        <v>126.713989</v>
      </c>
      <c r="I37">
        <f t="shared" si="0"/>
        <v>24.039618722689056</v>
      </c>
      <c r="K37">
        <f t="shared" si="1"/>
        <v>577.9032683322622</v>
      </c>
      <c r="M37">
        <f t="shared" si="2"/>
        <v>13892.574229303447</v>
      </c>
      <c r="O37">
        <f t="shared" si="3"/>
        <v>333972.18754911062</v>
      </c>
    </row>
    <row r="38" spans="1:15" x14ac:dyDescent="0.25">
      <c r="B38">
        <v>-512.67709300000001</v>
      </c>
      <c r="I38">
        <f t="shared" si="0"/>
        <v>-615.35146327731093</v>
      </c>
      <c r="K38">
        <f t="shared" si="1"/>
        <v>378657.42335752776</v>
      </c>
      <c r="M38">
        <f t="shared" si="2"/>
        <v>-233007399.54387093</v>
      </c>
      <c r="O38">
        <f t="shared" si="3"/>
        <v>143381444263.76202</v>
      </c>
    </row>
    <row r="39" spans="1:15" x14ac:dyDescent="0.25">
      <c r="B39">
        <v>176.807275</v>
      </c>
      <c r="I39">
        <f t="shared" si="0"/>
        <v>74.132904722689062</v>
      </c>
      <c r="K39">
        <f t="shared" si="1"/>
        <v>5495.6875626232941</v>
      </c>
      <c r="M39">
        <f t="shared" si="2"/>
        <v>407411.28246561997</v>
      </c>
      <c r="O39">
        <f t="shared" si="3"/>
        <v>30202581.785972364</v>
      </c>
    </row>
    <row r="40" spans="1:15" x14ac:dyDescent="0.25">
      <c r="B40">
        <v>814.71658300000001</v>
      </c>
      <c r="I40">
        <f t="shared" si="0"/>
        <v>712.0422127226891</v>
      </c>
      <c r="K40">
        <f t="shared" si="1"/>
        <v>507004.11269902322</v>
      </c>
      <c r="M40">
        <f t="shared" si="2"/>
        <v>361008330.26571614</v>
      </c>
      <c r="O40">
        <f t="shared" si="3"/>
        <v>257053170293.72385</v>
      </c>
    </row>
    <row r="41" spans="1:15" x14ac:dyDescent="0.25">
      <c r="B41">
        <v>-808.36407299999996</v>
      </c>
      <c r="I41">
        <f t="shared" si="0"/>
        <v>-911.03844327731088</v>
      </c>
      <c r="K41">
        <f t="shared" si="1"/>
        <v>829991.04512914596</v>
      </c>
      <c r="M41">
        <f t="shared" si="2"/>
        <v>-756153749.68856537</v>
      </c>
      <c r="O41">
        <f t="shared" si="3"/>
        <v>688885134994.57202</v>
      </c>
    </row>
    <row r="42" spans="1:15" x14ac:dyDescent="0.25">
      <c r="B42">
        <v>-340.945896</v>
      </c>
      <c r="I42">
        <f t="shared" si="0"/>
        <v>-443.62026627731098</v>
      </c>
      <c r="K42">
        <f t="shared" si="1"/>
        <v>196798.94065195229</v>
      </c>
      <c r="M42">
        <f t="shared" si="2"/>
        <v>-87303998.455111787</v>
      </c>
      <c r="O42">
        <f t="shared" si="3"/>
        <v>38729823041.730637</v>
      </c>
    </row>
    <row r="43" spans="1:15" x14ac:dyDescent="0.25">
      <c r="B43">
        <v>761.54261199999996</v>
      </c>
      <c r="I43">
        <f t="shared" si="0"/>
        <v>658.86824172268905</v>
      </c>
      <c r="K43">
        <f t="shared" si="1"/>
        <v>434107.35995074781</v>
      </c>
      <c r="M43">
        <f t="shared" si="2"/>
        <v>286019552.96962768</v>
      </c>
      <c r="O43">
        <f t="shared" si="3"/>
        <v>188449199963.40811</v>
      </c>
    </row>
    <row r="44" spans="1:15" x14ac:dyDescent="0.25">
      <c r="B44">
        <v>577.99916700000006</v>
      </c>
      <c r="I44">
        <f t="shared" si="0"/>
        <v>475.32479672268914</v>
      </c>
      <c r="K44">
        <f t="shared" si="1"/>
        <v>225933.66237946576</v>
      </c>
      <c r="M44">
        <f t="shared" si="2"/>
        <v>107391872.14333224</v>
      </c>
      <c r="O44">
        <f t="shared" si="3"/>
        <v>51046019796.198425</v>
      </c>
    </row>
    <row r="45" spans="1:15" x14ac:dyDescent="0.25">
      <c r="B45">
        <v>-1554.2995209999999</v>
      </c>
      <c r="I45">
        <f t="shared" si="0"/>
        <v>-1656.9738912773109</v>
      </c>
      <c r="K45">
        <f t="shared" si="1"/>
        <v>2745562.4763746737</v>
      </c>
      <c r="M45">
        <f t="shared" si="2"/>
        <v>-4549325340.2235126</v>
      </c>
      <c r="O45">
        <f t="shared" si="3"/>
        <v>7538113311676.6309</v>
      </c>
    </row>
    <row r="46" spans="1:15" x14ac:dyDescent="0.25">
      <c r="B46">
        <v>-226.59317300000001</v>
      </c>
      <c r="I46">
        <f t="shared" si="0"/>
        <v>-329.26754327731095</v>
      </c>
      <c r="K46">
        <f t="shared" si="1"/>
        <v>108417.11505587584</v>
      </c>
      <c r="M46">
        <f t="shared" si="2"/>
        <v>-35698237.123661801</v>
      </c>
      <c r="O46">
        <f t="shared" si="3"/>
        <v>11754270837.039019</v>
      </c>
    </row>
    <row r="47" spans="1:15" x14ac:dyDescent="0.25">
      <c r="A47" s="1">
        <v>42005</v>
      </c>
      <c r="B47">
        <v>-981.85514000000001</v>
      </c>
      <c r="I47">
        <f t="shared" si="0"/>
        <v>-1084.5295102773109</v>
      </c>
      <c r="K47">
        <f t="shared" si="1"/>
        <v>1176204.258662344</v>
      </c>
      <c r="M47">
        <f t="shared" si="2"/>
        <v>-1275628228.6331594</v>
      </c>
      <c r="O47">
        <f t="shared" si="3"/>
        <v>1383456458095.4341</v>
      </c>
    </row>
    <row r="48" spans="1:15" x14ac:dyDescent="0.25">
      <c r="B48">
        <v>-1643.926843</v>
      </c>
      <c r="I48">
        <f t="shared" si="0"/>
        <v>-1746.601213277311</v>
      </c>
      <c r="K48">
        <f t="shared" si="1"/>
        <v>3050615.7982217749</v>
      </c>
      <c r="M48">
        <f t="shared" si="2"/>
        <v>-5328209254.4170847</v>
      </c>
      <c r="O48">
        <f t="shared" si="3"/>
        <v>9306256748360.2773</v>
      </c>
    </row>
    <row r="49" spans="1:15" x14ac:dyDescent="0.25">
      <c r="B49">
        <v>640.76977199999999</v>
      </c>
      <c r="I49">
        <f t="shared" si="0"/>
        <v>538.09540172268908</v>
      </c>
      <c r="K49">
        <f t="shared" si="1"/>
        <v>289546.66135510214</v>
      </c>
      <c r="M49">
        <f t="shared" si="2"/>
        <v>155803727.05933711</v>
      </c>
      <c r="O49">
        <f t="shared" si="3"/>
        <v>83837269101.8862</v>
      </c>
    </row>
    <row r="50" spans="1:15" x14ac:dyDescent="0.25">
      <c r="B50">
        <v>251.18350699999999</v>
      </c>
      <c r="I50">
        <f t="shared" si="0"/>
        <v>148.50913672268905</v>
      </c>
      <c r="K50">
        <f t="shared" si="1"/>
        <v>22054.963690118348</v>
      </c>
      <c r="M50">
        <f t="shared" si="2"/>
        <v>3275363.6180697284</v>
      </c>
      <c r="O50">
        <f t="shared" si="3"/>
        <v>486421423.37243873</v>
      </c>
    </row>
    <row r="51" spans="1:15" x14ac:dyDescent="0.25">
      <c r="B51">
        <v>-336.12383799999998</v>
      </c>
      <c r="I51">
        <f t="shared" si="0"/>
        <v>-438.79820827731089</v>
      </c>
      <c r="K51">
        <f t="shared" si="1"/>
        <v>192543.86758737831</v>
      </c>
      <c r="M51">
        <f t="shared" si="2"/>
        <v>-84487904.112125397</v>
      </c>
      <c r="O51">
        <f t="shared" si="3"/>
        <v>37073140945.505867</v>
      </c>
    </row>
    <row r="52" spans="1:15" x14ac:dyDescent="0.25">
      <c r="B52">
        <v>488.89444300000002</v>
      </c>
      <c r="I52">
        <f t="shared" si="0"/>
        <v>386.22007272268911</v>
      </c>
      <c r="K52">
        <f t="shared" si="1"/>
        <v>149165.94457391926</v>
      </c>
      <c r="M52">
        <f t="shared" si="2"/>
        <v>57610881.961087711</v>
      </c>
      <c r="O52">
        <f t="shared" si="3"/>
        <v>22250479020.629551</v>
      </c>
    </row>
    <row r="53" spans="1:15" x14ac:dyDescent="0.25">
      <c r="B53">
        <v>-1661.492536</v>
      </c>
      <c r="I53">
        <f t="shared" si="0"/>
        <v>-1764.166906277311</v>
      </c>
      <c r="K53">
        <f t="shared" si="1"/>
        <v>3112284.8732040585</v>
      </c>
      <c r="M53">
        <f t="shared" si="2"/>
        <v>-5490589976.214077</v>
      </c>
      <c r="O53">
        <f t="shared" si="3"/>
        <v>9686317131974.8027</v>
      </c>
    </row>
    <row r="54" spans="1:15" x14ac:dyDescent="0.25">
      <c r="B54">
        <v>94.213282000000007</v>
      </c>
      <c r="I54">
        <f t="shared" si="0"/>
        <v>-8.4610882773109353</v>
      </c>
      <c r="K54">
        <f t="shared" si="1"/>
        <v>71.590014836448532</v>
      </c>
      <c r="M54">
        <f t="shared" si="2"/>
        <v>-605.72943530519058</v>
      </c>
      <c r="O54">
        <f t="shared" si="3"/>
        <v>5125.1302242829206</v>
      </c>
    </row>
    <row r="55" spans="1:15" x14ac:dyDescent="0.25">
      <c r="B55">
        <v>299.98677199999997</v>
      </c>
      <c r="I55">
        <f t="shared" si="0"/>
        <v>197.31240172268903</v>
      </c>
      <c r="K55">
        <f t="shared" si="1"/>
        <v>38932.183873575821</v>
      </c>
      <c r="M55">
        <f t="shared" si="2"/>
        <v>7681802.7044045879</v>
      </c>
      <c r="O55">
        <f t="shared" si="3"/>
        <v>1515714941.1659172</v>
      </c>
    </row>
    <row r="56" spans="1:15" x14ac:dyDescent="0.25">
      <c r="B56">
        <v>-297.66960599999999</v>
      </c>
      <c r="I56">
        <f t="shared" si="0"/>
        <v>-400.34397627731096</v>
      </c>
      <c r="K56">
        <f t="shared" si="1"/>
        <v>160275.29934152812</v>
      </c>
      <c r="M56">
        <f t="shared" si="2"/>
        <v>-64165250.637423649</v>
      </c>
      <c r="O56">
        <f t="shared" si="3"/>
        <v>25688171579.016445</v>
      </c>
    </row>
    <row r="57" spans="1:15" x14ac:dyDescent="0.25">
      <c r="B57">
        <v>-1256.688643</v>
      </c>
      <c r="I57">
        <f t="shared" si="0"/>
        <v>-1359.363013277311</v>
      </c>
      <c r="K57">
        <f t="shared" si="1"/>
        <v>1847867.8018663707</v>
      </c>
      <c r="M57">
        <f t="shared" si="2"/>
        <v>-2511923143.2831907</v>
      </c>
      <c r="O57">
        <f t="shared" si="3"/>
        <v>3414615413174.4526</v>
      </c>
    </row>
    <row r="58" spans="1:15" x14ac:dyDescent="0.25">
      <c r="B58">
        <v>64.751110999999995</v>
      </c>
      <c r="I58">
        <f t="shared" si="0"/>
        <v>-37.923259277310947</v>
      </c>
      <c r="K58">
        <f t="shared" si="1"/>
        <v>1438.1735942141509</v>
      </c>
      <c r="M58">
        <f t="shared" si="2"/>
        <v>-54540.230099165427</v>
      </c>
      <c r="O58">
        <f t="shared" si="3"/>
        <v>2068343.2870948489</v>
      </c>
    </row>
    <row r="59" spans="1:15" x14ac:dyDescent="0.25">
      <c r="A59" s="1">
        <v>42370</v>
      </c>
      <c r="B59">
        <v>-1008.358125</v>
      </c>
      <c r="I59">
        <f t="shared" si="0"/>
        <v>-1111.032495277311</v>
      </c>
      <c r="K59">
        <f t="shared" si="1"/>
        <v>1234393.205562128</v>
      </c>
      <c r="M59">
        <f t="shared" si="2"/>
        <v>-1371450963.3290498</v>
      </c>
      <c r="O59">
        <f t="shared" si="3"/>
        <v>1523726585937.946</v>
      </c>
    </row>
    <row r="60" spans="1:15" x14ac:dyDescent="0.25">
      <c r="B60">
        <v>79.904283000000007</v>
      </c>
      <c r="I60">
        <f t="shared" si="0"/>
        <v>-22.770087277310935</v>
      </c>
      <c r="K60">
        <f t="shared" si="1"/>
        <v>518.47687461635735</v>
      </c>
      <c r="M60">
        <f t="shared" si="2"/>
        <v>-11805.763686281856</v>
      </c>
      <c r="O60">
        <f t="shared" si="3"/>
        <v>268818.26951194595</v>
      </c>
    </row>
    <row r="61" spans="1:15" x14ac:dyDescent="0.25">
      <c r="B61">
        <v>775.39916600000004</v>
      </c>
      <c r="I61">
        <f t="shared" si="0"/>
        <v>672.72479572268912</v>
      </c>
      <c r="K61">
        <f t="shared" si="1"/>
        <v>452558.65078013379</v>
      </c>
      <c r="M61">
        <f t="shared" si="2"/>
        <v>304447425.89860129</v>
      </c>
      <c r="O61">
        <f t="shared" si="3"/>
        <v>204809332395.93509</v>
      </c>
    </row>
    <row r="62" spans="1:15" x14ac:dyDescent="0.25">
      <c r="B62">
        <v>351.70744999999999</v>
      </c>
      <c r="I62">
        <f t="shared" si="0"/>
        <v>249.03307972268905</v>
      </c>
      <c r="K62">
        <f t="shared" si="1"/>
        <v>62017.474796167204</v>
      </c>
      <c r="M62">
        <f t="shared" si="2"/>
        <v>15444402.745113766</v>
      </c>
      <c r="O62">
        <f t="shared" si="3"/>
        <v>3846167180.0932345</v>
      </c>
    </row>
    <row r="63" spans="1:15" x14ac:dyDescent="0.25">
      <c r="B63">
        <v>-125.31522</v>
      </c>
      <c r="I63">
        <f t="shared" si="0"/>
        <v>-227.98959027731092</v>
      </c>
      <c r="K63">
        <f t="shared" si="1"/>
        <v>51979.25327481611</v>
      </c>
      <c r="M63">
        <f t="shared" si="2"/>
        <v>-11850728.657045897</v>
      </c>
      <c r="O63">
        <f t="shared" si="3"/>
        <v>2701842771.0074811</v>
      </c>
    </row>
    <row r="64" spans="1:15" x14ac:dyDescent="0.25">
      <c r="B64">
        <v>1529.1737189999999</v>
      </c>
      <c r="I64">
        <f t="shared" si="0"/>
        <v>1426.4993487226889</v>
      </c>
      <c r="K64">
        <f t="shared" si="1"/>
        <v>2034900.3919062554</v>
      </c>
      <c r="M64">
        <f t="shared" si="2"/>
        <v>2902784083.7698178</v>
      </c>
      <c r="O64">
        <f t="shared" si="3"/>
        <v>4140819604980.2319</v>
      </c>
    </row>
    <row r="65" spans="1:15" x14ac:dyDescent="0.25">
      <c r="B65">
        <v>-2557.2852029999999</v>
      </c>
      <c r="I65">
        <f t="shared" si="0"/>
        <v>-2659.9595732773109</v>
      </c>
      <c r="K65">
        <f t="shared" si="1"/>
        <v>7075384.9314696137</v>
      </c>
      <c r="M65">
        <f t="shared" si="2"/>
        <v>-18820237883.084629</v>
      </c>
      <c r="O65">
        <f t="shared" si="3"/>
        <v>50061071928467.273</v>
      </c>
    </row>
    <row r="66" spans="1:15" x14ac:dyDescent="0.25">
      <c r="B66">
        <v>1080.9756299999999</v>
      </c>
      <c r="I66">
        <f t="shared" si="0"/>
        <v>978.301259722689</v>
      </c>
      <c r="K66">
        <f t="shared" si="1"/>
        <v>957073.35477500025</v>
      </c>
      <c r="M66">
        <f t="shared" si="2"/>
        <v>936306068.62340283</v>
      </c>
      <c r="O66">
        <f t="shared" si="3"/>
        <v>915989406420.27344</v>
      </c>
    </row>
    <row r="67" spans="1:15" x14ac:dyDescent="0.25">
      <c r="B67">
        <v>1145.8261199999999</v>
      </c>
      <c r="I67">
        <f t="shared" si="0"/>
        <v>1043.1517497226889</v>
      </c>
      <c r="K67">
        <f t="shared" si="1"/>
        <v>1088165.5729495075</v>
      </c>
      <c r="M67">
        <f t="shared" si="2"/>
        <v>1135121821.4102709</v>
      </c>
      <c r="O67">
        <f t="shared" si="3"/>
        <v>1184104314152.53</v>
      </c>
    </row>
    <row r="68" spans="1:15" x14ac:dyDescent="0.25">
      <c r="B68">
        <v>645.56549800000005</v>
      </c>
      <c r="I68">
        <f t="shared" si="0"/>
        <v>542.89112772268913</v>
      </c>
      <c r="K68">
        <f t="shared" si="1"/>
        <v>294730.77656001318</v>
      </c>
      <c r="M68">
        <f t="shared" si="2"/>
        <v>160006723.66124946</v>
      </c>
      <c r="O68">
        <f t="shared" si="3"/>
        <v>86866230651.668411</v>
      </c>
    </row>
    <row r="69" spans="1:15" x14ac:dyDescent="0.25">
      <c r="B69">
        <v>908.52149499999996</v>
      </c>
      <c r="I69">
        <f t="shared" si="0"/>
        <v>805.84712472268905</v>
      </c>
      <c r="K69">
        <f t="shared" si="1"/>
        <v>649389.5884238251</v>
      </c>
      <c r="M69">
        <f t="shared" si="2"/>
        <v>523308732.65618992</v>
      </c>
      <c r="O69">
        <f t="shared" si="3"/>
        <v>421706837553.26495</v>
      </c>
    </row>
    <row r="70" spans="1:15" x14ac:dyDescent="0.25">
      <c r="B70">
        <v>759.50791900000002</v>
      </c>
      <c r="I70">
        <f t="shared" si="0"/>
        <v>656.8335487226891</v>
      </c>
      <c r="K70">
        <f t="shared" si="1"/>
        <v>431430.31072764122</v>
      </c>
      <c r="M70">
        <f t="shared" si="2"/>
        <v>283377902.02176905</v>
      </c>
      <c r="O70">
        <f t="shared" si="3"/>
        <v>186132113014.54904</v>
      </c>
    </row>
    <row r="71" spans="1:15" x14ac:dyDescent="0.25">
      <c r="A71" s="1">
        <v>42736</v>
      </c>
      <c r="B71">
        <v>-159.08422999999999</v>
      </c>
      <c r="I71">
        <f t="shared" si="0"/>
        <v>-261.75860027731096</v>
      </c>
      <c r="K71">
        <f t="shared" si="1"/>
        <v>68517.564819137056</v>
      </c>
      <c r="M71">
        <f t="shared" si="2"/>
        <v>-17935061.861467242</v>
      </c>
      <c r="O71">
        <f t="shared" si="3"/>
        <v>4694656688.744648</v>
      </c>
    </row>
    <row r="72" spans="1:15" x14ac:dyDescent="0.25">
      <c r="B72">
        <v>-1055.3867789999999</v>
      </c>
      <c r="I72">
        <f t="shared" si="0"/>
        <v>-1158.061149277311</v>
      </c>
      <c r="K72">
        <f t="shared" si="1"/>
        <v>1341105.6254654862</v>
      </c>
      <c r="M72">
        <f t="shared" si="2"/>
        <v>-1553082321.928828</v>
      </c>
      <c r="O72">
        <f t="shared" si="3"/>
        <v>1798564298655.1729</v>
      </c>
    </row>
    <row r="73" spans="1:15" x14ac:dyDescent="0.25">
      <c r="B73">
        <v>1468.6408280000001</v>
      </c>
      <c r="I73">
        <f t="shared" si="0"/>
        <v>1365.966457722689</v>
      </c>
      <c r="K73">
        <f t="shared" si="1"/>
        <v>1865864.3636234708</v>
      </c>
      <c r="M73">
        <f t="shared" si="2"/>
        <v>2548708135.3697519</v>
      </c>
      <c r="O73">
        <f t="shared" si="3"/>
        <v>3481449823440.0195</v>
      </c>
    </row>
    <row r="74" spans="1:15" x14ac:dyDescent="0.25">
      <c r="B74">
        <v>-276.44498800000002</v>
      </c>
      <c r="I74">
        <f t="shared" si="0"/>
        <v>-379.11935827731099</v>
      </c>
      <c r="K74">
        <f t="shared" si="1"/>
        <v>143731.4878206001</v>
      </c>
      <c r="M74">
        <f t="shared" si="2"/>
        <v>-54491389.426789053</v>
      </c>
      <c r="O74">
        <f t="shared" si="3"/>
        <v>20658740591.123314</v>
      </c>
    </row>
    <row r="75" spans="1:15" x14ac:dyDescent="0.25">
      <c r="B75">
        <v>554.76907100000005</v>
      </c>
      <c r="I75">
        <f t="shared" si="0"/>
        <v>452.09470072268914</v>
      </c>
      <c r="K75">
        <f t="shared" si="1"/>
        <v>204389.61842153786</v>
      </c>
      <c r="M75">
        <f t="shared" si="2"/>
        <v>92403463.371109784</v>
      </c>
      <c r="O75">
        <f t="shared" si="3"/>
        <v>41775116118.501846</v>
      </c>
    </row>
    <row r="76" spans="1:15" x14ac:dyDescent="0.25">
      <c r="B76">
        <v>-2257.4401039999998</v>
      </c>
      <c r="I76">
        <f t="shared" si="0"/>
        <v>-2360.1144742773108</v>
      </c>
      <c r="K76">
        <f t="shared" si="1"/>
        <v>5570140.3316932674</v>
      </c>
      <c r="M76">
        <f t="shared" si="2"/>
        <v>-13146168820.585102</v>
      </c>
      <c r="O76">
        <f t="shared" si="3"/>
        <v>31026463314755.984</v>
      </c>
    </row>
    <row r="77" spans="1:15" x14ac:dyDescent="0.25">
      <c r="B77">
        <v>390.38794200000001</v>
      </c>
      <c r="I77">
        <f t="shared" si="0"/>
        <v>287.71357172268904</v>
      </c>
      <c r="K77">
        <f t="shared" si="1"/>
        <v>82779.099353426936</v>
      </c>
      <c r="M77">
        <f t="shared" si="2"/>
        <v>23816670.338961802</v>
      </c>
      <c r="O77">
        <f t="shared" si="3"/>
        <v>6852379289.7645283</v>
      </c>
    </row>
    <row r="78" spans="1:15" x14ac:dyDescent="0.25">
      <c r="B78">
        <v>2338.018986</v>
      </c>
      <c r="I78">
        <f t="shared" si="0"/>
        <v>2235.344615722689</v>
      </c>
      <c r="K78">
        <f t="shared" si="1"/>
        <v>4996765.5510404166</v>
      </c>
      <c r="M78">
        <f t="shared" si="2"/>
        <v>11169492970.54681</v>
      </c>
      <c r="O78">
        <f t="shared" si="3"/>
        <v>24967665972064.238</v>
      </c>
    </row>
    <row r="79" spans="1:15" x14ac:dyDescent="0.25">
      <c r="B79">
        <v>787.76839700000005</v>
      </c>
      <c r="I79">
        <f t="shared" si="0"/>
        <v>685.09402672268914</v>
      </c>
      <c r="K79">
        <f t="shared" si="1"/>
        <v>469353.82545110869</v>
      </c>
      <c r="M79">
        <f t="shared" si="2"/>
        <v>321551502.23599821</v>
      </c>
      <c r="O79">
        <f t="shared" si="3"/>
        <v>220293013465.58981</v>
      </c>
    </row>
    <row r="80" spans="1:15" x14ac:dyDescent="0.25">
      <c r="B80">
        <v>640.93229799999995</v>
      </c>
      <c r="I80">
        <f t="shared" si="0"/>
        <v>538.25792772268903</v>
      </c>
      <c r="K80">
        <f t="shared" si="1"/>
        <v>289721.59675632353</v>
      </c>
      <c r="M80">
        <f t="shared" si="2"/>
        <v>155944946.28656724</v>
      </c>
      <c r="O80">
        <f t="shared" si="3"/>
        <v>83938603627.033737</v>
      </c>
    </row>
    <row r="81" spans="1:15" x14ac:dyDescent="0.25">
      <c r="B81">
        <v>309.891682</v>
      </c>
      <c r="I81">
        <f t="shared" si="0"/>
        <v>207.21731172268906</v>
      </c>
      <c r="K81">
        <f t="shared" si="1"/>
        <v>42939.014277578091</v>
      </c>
      <c r="M81">
        <f t="shared" si="2"/>
        <v>8897707.106621895</v>
      </c>
      <c r="O81">
        <f t="shared" si="3"/>
        <v>1843758947.1300552</v>
      </c>
    </row>
    <row r="82" spans="1:15" x14ac:dyDescent="0.25">
      <c r="B82">
        <v>-419.18891200000002</v>
      </c>
      <c r="I82">
        <f t="shared" si="0"/>
        <v>-521.86328227731099</v>
      </c>
      <c r="K82">
        <f t="shared" si="1"/>
        <v>272341.28538924834</v>
      </c>
      <c r="M82">
        <f t="shared" si="2"/>
        <v>-142124917.09285501</v>
      </c>
      <c r="O82">
        <f t="shared" si="3"/>
        <v>74169775727.468018</v>
      </c>
    </row>
    <row r="83" spans="1:15" x14ac:dyDescent="0.25">
      <c r="A83" s="1">
        <v>43101</v>
      </c>
      <c r="B83">
        <v>-624.78931499999999</v>
      </c>
      <c r="I83">
        <f t="shared" si="0"/>
        <v>-727.4636852773109</v>
      </c>
      <c r="K83">
        <f t="shared" si="1"/>
        <v>529203.41339724639</v>
      </c>
      <c r="M83">
        <f t="shared" si="2"/>
        <v>-384976265.37129313</v>
      </c>
      <c r="O83">
        <f t="shared" si="3"/>
        <v>280056252751.29688</v>
      </c>
    </row>
    <row r="84" spans="1:15" x14ac:dyDescent="0.25">
      <c r="B84">
        <v>-745.24702300000001</v>
      </c>
      <c r="I84">
        <f t="shared" si="0"/>
        <v>-847.92139327731093</v>
      </c>
      <c r="K84">
        <f t="shared" si="1"/>
        <v>718970.68917733617</v>
      </c>
      <c r="M84">
        <f t="shared" si="2"/>
        <v>-609630628.49279535</v>
      </c>
      <c r="O84">
        <f t="shared" si="3"/>
        <v>516918851896.13373</v>
      </c>
    </row>
    <row r="85" spans="1:15" x14ac:dyDescent="0.25">
      <c r="B85">
        <v>1047.1257619999999</v>
      </c>
      <c r="I85">
        <f t="shared" si="0"/>
        <v>944.45139172268898</v>
      </c>
      <c r="K85">
        <f t="shared" si="1"/>
        <v>891988.43132692412</v>
      </c>
      <c r="M85">
        <f t="shared" si="2"/>
        <v>842439715.36725163</v>
      </c>
      <c r="O85">
        <f t="shared" si="3"/>
        <v>795643361621.06689</v>
      </c>
    </row>
    <row r="86" spans="1:15" x14ac:dyDescent="0.25">
      <c r="B86">
        <v>-180.167507</v>
      </c>
      <c r="I86">
        <f t="shared" si="0"/>
        <v>-282.84187727731091</v>
      </c>
      <c r="K86">
        <f t="shared" si="1"/>
        <v>79999.527541753414</v>
      </c>
      <c r="M86">
        <f t="shared" si="2"/>
        <v>-22627216.551207475</v>
      </c>
      <c r="O86">
        <f t="shared" si="3"/>
        <v>6399924406.9037628</v>
      </c>
    </row>
    <row r="87" spans="1:15" x14ac:dyDescent="0.25">
      <c r="B87">
        <v>1349.6324219999999</v>
      </c>
      <c r="I87">
        <f t="shared" si="0"/>
        <v>1246.9580517226889</v>
      </c>
      <c r="K87">
        <f t="shared" si="1"/>
        <v>1554904.3827560439</v>
      </c>
      <c r="M87">
        <f t="shared" si="2"/>
        <v>1938900539.7365468</v>
      </c>
      <c r="O87">
        <f t="shared" si="3"/>
        <v>2417727639513.9541</v>
      </c>
    </row>
    <row r="88" spans="1:15" x14ac:dyDescent="0.25">
      <c r="B88">
        <v>-2358.7982630000001</v>
      </c>
      <c r="I88">
        <f t="shared" ref="I88:I141" si="4">B88-F$23</f>
        <v>-2461.4726332773112</v>
      </c>
      <c r="K88">
        <f t="shared" ref="K88:K141" si="5">I88^2</f>
        <v>6058847.5243731402</v>
      </c>
      <c r="M88">
        <f t="shared" ref="M88:M141" si="6">I88^3</f>
        <v>-14913687370.444471</v>
      </c>
      <c r="O88">
        <f t="shared" ref="O88:O141" si="7">I88^4</f>
        <v>36709633323602.531</v>
      </c>
    </row>
    <row r="89" spans="1:15" x14ac:dyDescent="0.25">
      <c r="B89">
        <v>1538.610766</v>
      </c>
      <c r="I89">
        <f t="shared" si="4"/>
        <v>1435.936395722689</v>
      </c>
      <c r="K89">
        <f t="shared" si="5"/>
        <v>2061913.3325610668</v>
      </c>
      <c r="M89">
        <f t="shared" si="6"/>
        <v>2960776399.0502963</v>
      </c>
      <c r="O89">
        <f t="shared" si="7"/>
        <v>4251486590993.0845</v>
      </c>
    </row>
    <row r="90" spans="1:15" x14ac:dyDescent="0.25">
      <c r="B90">
        <v>1093.533529</v>
      </c>
      <c r="I90">
        <f t="shared" si="4"/>
        <v>990.85915872268913</v>
      </c>
      <c r="K90">
        <f t="shared" si="5"/>
        <v>981801.87242463522</v>
      </c>
      <c r="M90">
        <f t="shared" si="6"/>
        <v>972827377.34303498</v>
      </c>
      <c r="O90">
        <f t="shared" si="7"/>
        <v>963934916696.51965</v>
      </c>
    </row>
    <row r="91" spans="1:15" x14ac:dyDescent="0.25">
      <c r="B91">
        <v>-564.38592700000004</v>
      </c>
      <c r="I91">
        <f t="shared" si="4"/>
        <v>-667.06029727731095</v>
      </c>
      <c r="K91">
        <f t="shared" si="5"/>
        <v>444969.44020369445</v>
      </c>
      <c r="M91">
        <f t="shared" si="6"/>
        <v>-296821447.06159508</v>
      </c>
      <c r="O91">
        <f t="shared" si="7"/>
        <v>197997802715.18921</v>
      </c>
    </row>
    <row r="92" spans="1:15" x14ac:dyDescent="0.25">
      <c r="B92">
        <v>345.85310299999998</v>
      </c>
      <c r="I92">
        <f t="shared" si="4"/>
        <v>243.17873272268903</v>
      </c>
      <c r="K92">
        <f t="shared" si="5"/>
        <v>59135.896048613031</v>
      </c>
      <c r="M92">
        <f t="shared" si="6"/>
        <v>14380592.259522391</v>
      </c>
      <c r="O92">
        <f t="shared" si="7"/>
        <v>3497054201.4723663</v>
      </c>
    </row>
    <row r="93" spans="1:15" x14ac:dyDescent="0.25">
      <c r="B93">
        <v>-709.50476100000003</v>
      </c>
      <c r="I93">
        <f t="shared" si="4"/>
        <v>-812.17913127731094</v>
      </c>
      <c r="K93">
        <f t="shared" si="5"/>
        <v>659634.94128236745</v>
      </c>
      <c r="M93">
        <f t="shared" si="6"/>
        <v>-535741733.5708732</v>
      </c>
      <c r="O93">
        <f t="shared" si="7"/>
        <v>435118255760.59235</v>
      </c>
    </row>
    <row r="94" spans="1:15" x14ac:dyDescent="0.25">
      <c r="B94">
        <v>-1090.6778079999999</v>
      </c>
      <c r="I94">
        <f t="shared" si="4"/>
        <v>-1193.3521782773109</v>
      </c>
      <c r="K94">
        <f t="shared" si="5"/>
        <v>1424089.4213992029</v>
      </c>
      <c r="M94">
        <f t="shared" si="6"/>
        <v>-1699440213.0884142</v>
      </c>
      <c r="O94">
        <f t="shared" si="7"/>
        <v>2028030680141.1165</v>
      </c>
    </row>
    <row r="95" spans="1:15" x14ac:dyDescent="0.25">
      <c r="A95" s="1">
        <v>43466</v>
      </c>
      <c r="B95">
        <v>-793.11505899999997</v>
      </c>
      <c r="I95">
        <f t="shared" si="4"/>
        <v>-895.78942927731089</v>
      </c>
      <c r="K95">
        <f t="shared" si="5"/>
        <v>802438.70160497038</v>
      </c>
      <c r="M95">
        <f t="shared" si="6"/>
        <v>-718816106.54074275</v>
      </c>
      <c r="O95">
        <f t="shared" si="7"/>
        <v>643907869833.4707</v>
      </c>
    </row>
    <row r="96" spans="1:15" x14ac:dyDescent="0.25">
      <c r="B96">
        <v>-1495.034917</v>
      </c>
      <c r="I96">
        <f t="shared" si="4"/>
        <v>-1597.709287277311</v>
      </c>
      <c r="K96">
        <f t="shared" si="5"/>
        <v>2552674.9666521731</v>
      </c>
      <c r="M96">
        <f t="shared" si="6"/>
        <v>-4078432501.6204772</v>
      </c>
      <c r="O96">
        <f t="shared" si="7"/>
        <v>6516149485372.6729</v>
      </c>
    </row>
    <row r="97" spans="1:15" x14ac:dyDescent="0.25">
      <c r="B97">
        <v>890.38246700000002</v>
      </c>
      <c r="I97">
        <f t="shared" si="4"/>
        <v>787.70809672268911</v>
      </c>
      <c r="K97">
        <f t="shared" si="5"/>
        <v>620484.0456424813</v>
      </c>
      <c r="M97">
        <f t="shared" si="6"/>
        <v>488760306.63983309</v>
      </c>
      <c r="O97">
        <f t="shared" si="7"/>
        <v>385000450896.86084</v>
      </c>
    </row>
    <row r="98" spans="1:15" x14ac:dyDescent="0.25">
      <c r="B98">
        <v>-474.49922900000001</v>
      </c>
      <c r="I98">
        <f t="shared" si="4"/>
        <v>-577.17359927731093</v>
      </c>
      <c r="K98">
        <f t="shared" si="5"/>
        <v>333129.36370272591</v>
      </c>
      <c r="M98">
        <f t="shared" si="6"/>
        <v>-192273473.8732627</v>
      </c>
      <c r="O98">
        <f t="shared" si="7"/>
        <v>110975172960.98303</v>
      </c>
    </row>
    <row r="99" spans="1:15" x14ac:dyDescent="0.25">
      <c r="B99">
        <v>1180.1096930000001</v>
      </c>
      <c r="I99">
        <f t="shared" si="4"/>
        <v>1077.4353227226891</v>
      </c>
      <c r="K99">
        <f t="shared" si="5"/>
        <v>1160866.8746505452</v>
      </c>
      <c r="M99">
        <f t="shared" si="6"/>
        <v>1250758975.7271895</v>
      </c>
      <c r="O99">
        <f t="shared" si="7"/>
        <v>1347611900660.9246</v>
      </c>
    </row>
    <row r="100" spans="1:15" x14ac:dyDescent="0.25">
      <c r="B100">
        <v>-2131.4003819999998</v>
      </c>
      <c r="I100">
        <f t="shared" si="4"/>
        <v>-2234.0747522773108</v>
      </c>
      <c r="K100">
        <f t="shared" si="5"/>
        <v>4991089.9987629279</v>
      </c>
      <c r="M100">
        <f t="shared" si="6"/>
        <v>-11150468152.580051</v>
      </c>
      <c r="O100">
        <f t="shared" si="7"/>
        <v>24910979375751.324</v>
      </c>
    </row>
    <row r="101" spans="1:15" x14ac:dyDescent="0.25">
      <c r="B101">
        <v>1853.5225809999999</v>
      </c>
      <c r="I101">
        <f t="shared" si="4"/>
        <v>1750.8482107226889</v>
      </c>
      <c r="K101">
        <f t="shared" si="5"/>
        <v>3065469.4569908413</v>
      </c>
      <c r="M101">
        <f t="shared" si="6"/>
        <v>5367171713.7974672</v>
      </c>
      <c r="O101">
        <f t="shared" si="7"/>
        <v>9397102991743.7227</v>
      </c>
    </row>
    <row r="102" spans="1:15" x14ac:dyDescent="0.25">
      <c r="B102">
        <v>684.957132</v>
      </c>
      <c r="I102">
        <f t="shared" si="4"/>
        <v>582.28276172268909</v>
      </c>
      <c r="K102">
        <f t="shared" si="5"/>
        <v>339053.21459940192</v>
      </c>
      <c r="M102">
        <f t="shared" si="6"/>
        <v>197424842.16789532</v>
      </c>
      <c r="O102">
        <f t="shared" si="7"/>
        <v>114957082330.1881</v>
      </c>
    </row>
    <row r="103" spans="1:15" x14ac:dyDescent="0.25">
      <c r="B103">
        <v>-168.47913600000001</v>
      </c>
      <c r="I103">
        <f t="shared" si="4"/>
        <v>-271.15350627731095</v>
      </c>
      <c r="K103">
        <f t="shared" si="5"/>
        <v>73524.223966479709</v>
      </c>
      <c r="M103">
        <f t="shared" si="6"/>
        <v>-19936351.124829274</v>
      </c>
      <c r="O103">
        <f t="shared" si="7"/>
        <v>5405811509.8730688</v>
      </c>
    </row>
    <row r="104" spans="1:15" x14ac:dyDescent="0.25">
      <c r="B104">
        <v>538.69933200000003</v>
      </c>
      <c r="I104">
        <f t="shared" si="4"/>
        <v>436.02496172268911</v>
      </c>
      <c r="K104">
        <f t="shared" si="5"/>
        <v>190117.76724527249</v>
      </c>
      <c r="M104">
        <f t="shared" si="6"/>
        <v>82896092.185923055</v>
      </c>
      <c r="O104">
        <f t="shared" si="7"/>
        <v>36144765422.327606</v>
      </c>
    </row>
    <row r="105" spans="1:15" x14ac:dyDescent="0.25">
      <c r="B105">
        <v>-556.69046600000001</v>
      </c>
      <c r="I105">
        <f t="shared" si="4"/>
        <v>-659.36483627731093</v>
      </c>
      <c r="K105">
        <f t="shared" si="5"/>
        <v>434761.98731900507</v>
      </c>
      <c r="M105">
        <f t="shared" si="6"/>
        <v>-286666766.58819413</v>
      </c>
      <c r="O105">
        <f t="shared" si="7"/>
        <v>189017985617.57074</v>
      </c>
    </row>
    <row r="106" spans="1:15" x14ac:dyDescent="0.25">
      <c r="B106">
        <v>8.3914539999999995</v>
      </c>
      <c r="I106">
        <f t="shared" si="4"/>
        <v>-94.282916277310946</v>
      </c>
      <c r="K106">
        <f t="shared" si="5"/>
        <v>8889.2683017544259</v>
      </c>
      <c r="M106">
        <f t="shared" si="6"/>
        <v>-838106.13906086655</v>
      </c>
      <c r="O106">
        <f t="shared" si="7"/>
        <v>79019090.940576017</v>
      </c>
    </row>
    <row r="107" spans="1:15" x14ac:dyDescent="0.25">
      <c r="A107" s="1">
        <v>43831</v>
      </c>
      <c r="B107">
        <v>-268.79772700000001</v>
      </c>
      <c r="I107">
        <f t="shared" si="4"/>
        <v>-371.47209727731092</v>
      </c>
      <c r="K107">
        <f t="shared" si="5"/>
        <v>137991.51905560395</v>
      </c>
      <c r="M107">
        <f t="shared" si="6"/>
        <v>-51259998.990067214</v>
      </c>
      <c r="O107">
        <f t="shared" si="7"/>
        <v>19041659331.273106</v>
      </c>
    </row>
    <row r="108" spans="1:15" x14ac:dyDescent="0.25">
      <c r="B108">
        <v>-1412.058759</v>
      </c>
      <c r="I108">
        <f t="shared" si="4"/>
        <v>-1514.733129277311</v>
      </c>
      <c r="K108">
        <f t="shared" si="5"/>
        <v>2294416.4529302348</v>
      </c>
      <c r="M108">
        <f t="shared" si="6"/>
        <v>-3475428613.6123629</v>
      </c>
      <c r="O108">
        <f t="shared" si="7"/>
        <v>5264346859476.9609</v>
      </c>
    </row>
    <row r="109" spans="1:15" x14ac:dyDescent="0.25">
      <c r="B109">
        <v>823.84715600000004</v>
      </c>
      <c r="I109">
        <f t="shared" si="4"/>
        <v>721.17278572268913</v>
      </c>
      <c r="K109">
        <f t="shared" si="5"/>
        <v>520090.1868670237</v>
      </c>
      <c r="M109">
        <f t="shared" si="6"/>
        <v>375074888.88992542</v>
      </c>
      <c r="O109">
        <f t="shared" si="7"/>
        <v>270493802475.37564</v>
      </c>
    </row>
    <row r="110" spans="1:15" x14ac:dyDescent="0.25">
      <c r="B110">
        <v>-535.60660299999995</v>
      </c>
      <c r="I110">
        <f t="shared" si="4"/>
        <v>-638.28097327731086</v>
      </c>
      <c r="K110">
        <f t="shared" si="5"/>
        <v>407402.60084783123</v>
      </c>
      <c r="M110">
        <f t="shared" si="6"/>
        <v>-260037328.58486152</v>
      </c>
      <c r="O110">
        <f t="shared" si="7"/>
        <v>165976879177.5773</v>
      </c>
    </row>
    <row r="111" spans="1:15" x14ac:dyDescent="0.25">
      <c r="B111">
        <v>1156.442787</v>
      </c>
      <c r="I111">
        <f t="shared" si="4"/>
        <v>1053.7684167226889</v>
      </c>
      <c r="K111">
        <f t="shared" si="5"/>
        <v>1110427.8760822427</v>
      </c>
      <c r="M111">
        <f t="shared" si="6"/>
        <v>1170133824.8639231</v>
      </c>
      <c r="O111">
        <f t="shared" si="7"/>
        <v>1233050067980.5205</v>
      </c>
    </row>
    <row r="112" spans="1:15" x14ac:dyDescent="0.25">
      <c r="B112">
        <v>-2132.5317230000001</v>
      </c>
      <c r="I112">
        <f t="shared" si="4"/>
        <v>-2235.2060932773111</v>
      </c>
      <c r="K112">
        <f t="shared" si="5"/>
        <v>4996146.2794240192</v>
      </c>
      <c r="M112">
        <f t="shared" si="6"/>
        <v>-11167416606.673334</v>
      </c>
      <c r="O112">
        <f t="shared" si="7"/>
        <v>24961477645402.469</v>
      </c>
    </row>
    <row r="113" spans="1:15" x14ac:dyDescent="0.25">
      <c r="B113">
        <v>1858.1854780000001</v>
      </c>
      <c r="I113">
        <f t="shared" si="4"/>
        <v>1755.5111077226891</v>
      </c>
      <c r="K113">
        <f t="shared" si="5"/>
        <v>3081819.249337743</v>
      </c>
      <c r="M113">
        <f t="shared" si="6"/>
        <v>5410167924.206007</v>
      </c>
      <c r="O113">
        <f t="shared" si="7"/>
        <v>9497609885588.6504</v>
      </c>
    </row>
    <row r="114" spans="1:15" x14ac:dyDescent="0.25">
      <c r="B114">
        <v>688.17468499999995</v>
      </c>
      <c r="I114">
        <f t="shared" si="4"/>
        <v>585.50031472268904</v>
      </c>
      <c r="K114">
        <f t="shared" si="5"/>
        <v>342810.61854036793</v>
      </c>
      <c r="M114">
        <f t="shared" si="6"/>
        <v>200715725.04566512</v>
      </c>
      <c r="O114">
        <f t="shared" si="7"/>
        <v>117519120184.02965</v>
      </c>
    </row>
    <row r="115" spans="1:15" x14ac:dyDescent="0.25">
      <c r="B115">
        <v>-167.496622</v>
      </c>
      <c r="I115">
        <f t="shared" si="4"/>
        <v>-270.17099227731092</v>
      </c>
      <c r="K115">
        <f t="shared" si="5"/>
        <v>72992.365068106796</v>
      </c>
      <c r="M115">
        <f t="shared" si="6"/>
        <v>-19720419.699118141</v>
      </c>
      <c r="O115">
        <f t="shared" si="7"/>
        <v>5327885358.2357769</v>
      </c>
    </row>
    <row r="116" spans="1:15" x14ac:dyDescent="0.25">
      <c r="B116">
        <v>538.59152200000005</v>
      </c>
      <c r="I116">
        <f t="shared" si="4"/>
        <v>435.91715172268914</v>
      </c>
      <c r="K116">
        <f t="shared" si="5"/>
        <v>190023.76316602199</v>
      </c>
      <c r="M116">
        <f t="shared" si="6"/>
        <v>82834617.598959163</v>
      </c>
      <c r="O116">
        <f t="shared" si="7"/>
        <v>36109030567.776413</v>
      </c>
    </row>
    <row r="117" spans="1:15" x14ac:dyDescent="0.25">
      <c r="B117">
        <v>-556.98230599999999</v>
      </c>
      <c r="I117">
        <f t="shared" si="4"/>
        <v>-659.65667627731091</v>
      </c>
      <c r="K117">
        <f t="shared" si="5"/>
        <v>435146.93055722897</v>
      </c>
      <c r="M117">
        <f t="shared" si="6"/>
        <v>-287047577.90365547</v>
      </c>
      <c r="O117">
        <f t="shared" si="7"/>
        <v>189352851173.37787</v>
      </c>
    </row>
    <row r="118" spans="1:15" x14ac:dyDescent="0.25">
      <c r="B118">
        <v>8.2306869999999996</v>
      </c>
      <c r="I118">
        <f t="shared" si="4"/>
        <v>-94.443683277310939</v>
      </c>
      <c r="K118">
        <f t="shared" si="5"/>
        <v>8919.6093109850226</v>
      </c>
      <c r="M118">
        <f t="shared" si="6"/>
        <v>-842400.75672402314</v>
      </c>
      <c r="O118">
        <f t="shared" si="7"/>
        <v>79559430.260610715</v>
      </c>
    </row>
    <row r="119" spans="1:15" x14ac:dyDescent="0.25">
      <c r="A119" s="1">
        <v>44197</v>
      </c>
      <c r="B119">
        <v>-660.53343600000005</v>
      </c>
      <c r="I119">
        <f t="shared" si="4"/>
        <v>-763.20780627731097</v>
      </c>
      <c r="K119">
        <f t="shared" si="5"/>
        <v>582486.15556262538</v>
      </c>
      <c r="M119">
        <f t="shared" si="6"/>
        <v>-444557980.97385579</v>
      </c>
      <c r="O119">
        <f t="shared" si="7"/>
        <v>339290121422.12701</v>
      </c>
    </row>
    <row r="120" spans="1:15" x14ac:dyDescent="0.25">
      <c r="B120">
        <v>-15.522259999999999</v>
      </c>
      <c r="I120">
        <f t="shared" si="4"/>
        <v>-118.19663027731094</v>
      </c>
      <c r="K120">
        <f t="shared" si="5"/>
        <v>13970.443408911338</v>
      </c>
      <c r="M120">
        <f t="shared" si="6"/>
        <v>-1651259.334413189</v>
      </c>
      <c r="O120">
        <f t="shared" si="7"/>
        <v>195173289.04159427</v>
      </c>
    </row>
    <row r="121" spans="1:15" x14ac:dyDescent="0.25">
      <c r="B121">
        <v>129.53104300000001</v>
      </c>
      <c r="I121">
        <f t="shared" si="4"/>
        <v>26.856672722689069</v>
      </c>
      <c r="K121">
        <f t="shared" si="5"/>
        <v>721.28086973363111</v>
      </c>
      <c r="M121">
        <f t="shared" si="6"/>
        <v>19371.20425957266</v>
      </c>
      <c r="O121">
        <f t="shared" si="7"/>
        <v>520246.09304370335</v>
      </c>
    </row>
    <row r="122" spans="1:15" x14ac:dyDescent="0.25">
      <c r="B122">
        <v>-1785.735723</v>
      </c>
      <c r="I122">
        <f t="shared" si="4"/>
        <v>-1888.410093277311</v>
      </c>
      <c r="K122">
        <f t="shared" si="5"/>
        <v>3566092.6803916227</v>
      </c>
      <c r="M122">
        <f t="shared" si="6"/>
        <v>-6734245411.2138805</v>
      </c>
      <c r="O122">
        <f t="shared" si="7"/>
        <v>12717017005142.709</v>
      </c>
    </row>
    <row r="123" spans="1:15" x14ac:dyDescent="0.25">
      <c r="B123">
        <v>-2870.3560859999998</v>
      </c>
      <c r="I123">
        <f t="shared" si="4"/>
        <v>-2973.0304562773108</v>
      </c>
      <c r="K123">
        <f t="shared" si="5"/>
        <v>8838910.0939524751</v>
      </c>
      <c r="M123">
        <f t="shared" si="6"/>
        <v>-26278348909.617657</v>
      </c>
      <c r="O123">
        <f t="shared" si="7"/>
        <v>78126331648974.953</v>
      </c>
    </row>
    <row r="124" spans="1:15" x14ac:dyDescent="0.25">
      <c r="B124">
        <v>137.92886200000001</v>
      </c>
      <c r="I124">
        <f t="shared" si="4"/>
        <v>35.254491722689068</v>
      </c>
      <c r="K124">
        <f t="shared" si="5"/>
        <v>1242.879186625152</v>
      </c>
      <c r="M124">
        <f t="shared" si="6"/>
        <v>43817.073997178944</v>
      </c>
      <c r="O124">
        <f t="shared" si="7"/>
        <v>1544748.6725459993</v>
      </c>
    </row>
    <row r="125" spans="1:15" x14ac:dyDescent="0.25">
      <c r="B125">
        <v>2423.2998830000001</v>
      </c>
      <c r="I125">
        <f t="shared" si="4"/>
        <v>2320.6255127226891</v>
      </c>
      <c r="K125">
        <f t="shared" si="5"/>
        <v>5385302.770299444</v>
      </c>
      <c r="M125">
        <f t="shared" si="6"/>
        <v>12497271002.493065</v>
      </c>
      <c r="O125">
        <f t="shared" si="7"/>
        <v>29001485927794.867</v>
      </c>
    </row>
    <row r="126" spans="1:15" x14ac:dyDescent="0.25">
      <c r="B126">
        <v>872.51208899999995</v>
      </c>
      <c r="I126">
        <f t="shared" si="4"/>
        <v>769.83771872268903</v>
      </c>
      <c r="K126">
        <f t="shared" si="5"/>
        <v>592650.11316815403</v>
      </c>
      <c r="M126">
        <f t="shared" si="6"/>
        <v>456244411.12211519</v>
      </c>
      <c r="O126">
        <f t="shared" si="7"/>
        <v>351234156638.22577</v>
      </c>
    </row>
    <row r="127" spans="1:15" x14ac:dyDescent="0.25">
      <c r="B127">
        <v>903.84293300000002</v>
      </c>
      <c r="I127">
        <f t="shared" si="4"/>
        <v>801.1685627226891</v>
      </c>
      <c r="K127">
        <f t="shared" si="5"/>
        <v>641871.06589513947</v>
      </c>
      <c r="M127">
        <f t="shared" si="6"/>
        <v>514246919.31648934</v>
      </c>
      <c r="O127">
        <f t="shared" si="7"/>
        <v>411998465233.36249</v>
      </c>
    </row>
    <row r="128" spans="1:15" x14ac:dyDescent="0.25">
      <c r="B128">
        <v>782.63676499999997</v>
      </c>
      <c r="I128">
        <f t="shared" si="4"/>
        <v>679.96239472268906</v>
      </c>
      <c r="K128">
        <f t="shared" si="5"/>
        <v>462348.85823701398</v>
      </c>
      <c r="M128">
        <f t="shared" si="6"/>
        <v>314379836.84414113</v>
      </c>
      <c r="O128">
        <f t="shared" si="7"/>
        <v>213766466713.07043</v>
      </c>
    </row>
    <row r="129" spans="1:15" x14ac:dyDescent="0.25">
      <c r="B129">
        <v>1186.3632749999999</v>
      </c>
      <c r="I129">
        <f t="shared" si="4"/>
        <v>1083.6889047226889</v>
      </c>
      <c r="K129">
        <f t="shared" si="5"/>
        <v>1174381.642219061</v>
      </c>
      <c r="M129">
        <f t="shared" si="6"/>
        <v>1272664355.5828071</v>
      </c>
      <c r="O129">
        <f t="shared" si="7"/>
        <v>1379172241581.1387</v>
      </c>
    </row>
    <row r="130" spans="1:15" x14ac:dyDescent="0.25">
      <c r="B130">
        <v>1856.4345619999999</v>
      </c>
      <c r="I130">
        <f t="shared" si="4"/>
        <v>1753.7601917226889</v>
      </c>
      <c r="K130">
        <f t="shared" si="5"/>
        <v>3075674.8100712025</v>
      </c>
      <c r="M130">
        <f t="shared" si="6"/>
        <v>5393996044.5871172</v>
      </c>
      <c r="O130">
        <f t="shared" si="7"/>
        <v>9459775537306.5273</v>
      </c>
    </row>
    <row r="131" spans="1:15" x14ac:dyDescent="0.25">
      <c r="A131" s="1">
        <v>44562</v>
      </c>
      <c r="B131">
        <v>-330.55469799999997</v>
      </c>
      <c r="I131">
        <f t="shared" si="4"/>
        <v>-433.22906827731094</v>
      </c>
      <c r="K131">
        <f t="shared" si="5"/>
        <v>187687.42560042694</v>
      </c>
      <c r="M131">
        <f t="shared" si="6"/>
        <v>-81311648.520240083</v>
      </c>
      <c r="O131">
        <f t="shared" si="7"/>
        <v>35226569728.5158</v>
      </c>
    </row>
    <row r="132" spans="1:15" x14ac:dyDescent="0.25">
      <c r="B132">
        <v>-676.75613099999998</v>
      </c>
      <c r="I132">
        <f t="shared" si="4"/>
        <v>-779.4305012773109</v>
      </c>
      <c r="K132">
        <f t="shared" si="5"/>
        <v>607511.90632140019</v>
      </c>
      <c r="M132">
        <f t="shared" si="6"/>
        <v>-473513309.67602366</v>
      </c>
      <c r="O132">
        <f t="shared" si="7"/>
        <v>369070716322.26172</v>
      </c>
    </row>
    <row r="133" spans="1:15" x14ac:dyDescent="0.25">
      <c r="B133">
        <v>2788.5081850000001</v>
      </c>
      <c r="I133">
        <f t="shared" si="4"/>
        <v>2685.8338147226891</v>
      </c>
      <c r="K133">
        <f t="shared" si="5"/>
        <v>7213703.2803078322</v>
      </c>
      <c r="M133">
        <f t="shared" si="6"/>
        <v>19374808199.626762</v>
      </c>
      <c r="O133">
        <f t="shared" si="7"/>
        <v>52037515016323.977</v>
      </c>
    </row>
    <row r="134" spans="1:15" x14ac:dyDescent="0.25">
      <c r="B134">
        <v>1999.9058500000001</v>
      </c>
      <c r="I134">
        <f t="shared" si="4"/>
        <v>1897.2314797226891</v>
      </c>
      <c r="K134">
        <f t="shared" si="5"/>
        <v>3599487.2876507444</v>
      </c>
      <c r="M134">
        <f t="shared" si="6"/>
        <v>6829060592.99263</v>
      </c>
      <c r="O134">
        <f t="shared" si="7"/>
        <v>12956308733959.313</v>
      </c>
    </row>
    <row r="135" spans="1:15" x14ac:dyDescent="0.25">
      <c r="B135">
        <v>-930.44951100000003</v>
      </c>
      <c r="I135">
        <f t="shared" si="4"/>
        <v>-1033.1238812773111</v>
      </c>
      <c r="K135">
        <f t="shared" si="5"/>
        <v>1067344.9540654954</v>
      </c>
      <c r="M135">
        <f t="shared" si="6"/>
        <v>-1102699561.6058979</v>
      </c>
      <c r="O135">
        <f t="shared" si="7"/>
        <v>1139225250969.0745</v>
      </c>
    </row>
    <row r="136" spans="1:15" x14ac:dyDescent="0.25">
      <c r="B136">
        <v>594.36938599999996</v>
      </c>
      <c r="I136">
        <f t="shared" si="4"/>
        <v>491.69501572268905</v>
      </c>
      <c r="K136">
        <f t="shared" si="5"/>
        <v>241763.98848653544</v>
      </c>
      <c r="M136">
        <f t="shared" si="6"/>
        <v>118874148.12006706</v>
      </c>
      <c r="O136">
        <f t="shared" si="7"/>
        <v>58449826128.917641</v>
      </c>
    </row>
    <row r="137" spans="1:15" x14ac:dyDescent="0.25">
      <c r="B137">
        <v>1410.7019600000001</v>
      </c>
      <c r="I137">
        <f t="shared" si="4"/>
        <v>1308.0275897226891</v>
      </c>
      <c r="K137">
        <f t="shared" si="5"/>
        <v>1710936.1754757473</v>
      </c>
      <c r="M137">
        <f t="shared" si="6"/>
        <v>2237951721.7768974</v>
      </c>
      <c r="O137">
        <f t="shared" si="7"/>
        <v>2927302596551.5771</v>
      </c>
    </row>
    <row r="138" spans="1:15" x14ac:dyDescent="0.25">
      <c r="B138">
        <v>2834.0661679999998</v>
      </c>
      <c r="I138">
        <f t="shared" si="4"/>
        <v>2731.3917977226888</v>
      </c>
      <c r="K138">
        <f t="shared" si="5"/>
        <v>7460501.152666782</v>
      </c>
      <c r="M138">
        <f t="shared" si="6"/>
        <v>20377551655.294712</v>
      </c>
      <c r="O138">
        <f t="shared" si="7"/>
        <v>55659077448942.383</v>
      </c>
    </row>
    <row r="139" spans="1:15" x14ac:dyDescent="0.25">
      <c r="B139">
        <v>654.10336600000005</v>
      </c>
      <c r="I139">
        <f t="shared" si="4"/>
        <v>551.42899572268914</v>
      </c>
      <c r="K139">
        <f t="shared" si="5"/>
        <v>304073.93732373352</v>
      </c>
      <c r="M139">
        <f t="shared" si="6"/>
        <v>167675185.8838703</v>
      </c>
      <c r="O139">
        <f t="shared" si="7"/>
        <v>92460959359.557831</v>
      </c>
    </row>
    <row r="140" spans="1:15" x14ac:dyDescent="0.25">
      <c r="B140">
        <v>1243.086446</v>
      </c>
      <c r="I140">
        <f t="shared" si="4"/>
        <v>1140.412075722689</v>
      </c>
      <c r="K140">
        <f t="shared" si="5"/>
        <v>1300539.702454132</v>
      </c>
      <c r="M140">
        <f t="shared" si="6"/>
        <v>1483151181.6354849</v>
      </c>
      <c r="O140">
        <f t="shared" si="7"/>
        <v>1691403517659.4822</v>
      </c>
    </row>
    <row r="141" spans="1:15" x14ac:dyDescent="0.25">
      <c r="B141">
        <v>1394.870891</v>
      </c>
      <c r="I141">
        <f t="shared" si="4"/>
        <v>1292.196520722689</v>
      </c>
      <c r="K141">
        <f t="shared" si="5"/>
        <v>1669771.8481678229</v>
      </c>
      <c r="M141">
        <f t="shared" si="6"/>
        <v>2157673372.6031551</v>
      </c>
      <c r="O141">
        <f t="shared" si="7"/>
        <v>2788138024933.7871</v>
      </c>
    </row>
    <row r="142" spans="1:15" x14ac:dyDescent="0.25">
      <c r="H142" t="s">
        <v>58</v>
      </c>
      <c r="I142" s="6">
        <f>SUM(I23:I141)</f>
        <v>-1.1141310096718371E-11</v>
      </c>
      <c r="K142">
        <f>SUM(K23:K141)</f>
        <v>157051375.40858787</v>
      </c>
      <c r="M142">
        <f>SUM(M23:M141)</f>
        <v>-36899047901.327744</v>
      </c>
      <c r="O142">
        <f>SUM(O23:O141)</f>
        <v>603716623055068.38</v>
      </c>
    </row>
    <row r="143" spans="1:15" x14ac:dyDescent="0.25">
      <c r="H143" t="s">
        <v>59</v>
      </c>
      <c r="I143">
        <f>I142/$D4</f>
        <v>-9.362445459427202E-14</v>
      </c>
      <c r="K143">
        <f>K142/$D4</f>
        <v>1319759.4572150242</v>
      </c>
      <c r="M143">
        <f>M142/$D4</f>
        <v>-310076032.78426677</v>
      </c>
      <c r="O143">
        <f>O142/$D4</f>
        <v>5073248933235.8691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23"/>
  <sheetViews>
    <sheetView topLeftCell="A4" workbookViewId="0">
      <selection activeCell="D18" sqref="D18"/>
    </sheetView>
  </sheetViews>
  <sheetFormatPr defaultRowHeight="15" x14ac:dyDescent="0.25"/>
  <cols>
    <col min="6" max="6" width="12.7109375" bestFit="1" customWidth="1"/>
  </cols>
  <sheetData>
    <row r="2" spans="2:7" x14ac:dyDescent="0.25">
      <c r="B2" t="s">
        <v>65</v>
      </c>
    </row>
    <row r="3" spans="2:7" x14ac:dyDescent="0.25">
      <c r="B3" t="s">
        <v>66</v>
      </c>
    </row>
    <row r="4" spans="2:7" x14ac:dyDescent="0.25">
      <c r="F4" t="s">
        <v>67</v>
      </c>
      <c r="G4" t="s">
        <v>68</v>
      </c>
    </row>
    <row r="5" spans="2:7" x14ac:dyDescent="0.25">
      <c r="B5" s="1">
        <v>41275</v>
      </c>
      <c r="C5">
        <v>15.375489</v>
      </c>
      <c r="D5" t="s">
        <v>69</v>
      </c>
      <c r="F5">
        <f>CORREL(C5:C122,C6:C123)</f>
        <v>-4.5541405498707574E-3</v>
      </c>
      <c r="G5">
        <f>CORREL(C5:C121,C7:C123)</f>
        <v>1.020360118860195E-3</v>
      </c>
    </row>
    <row r="6" spans="2:7" x14ac:dyDescent="0.25">
      <c r="C6">
        <v>-298.38213200000001</v>
      </c>
    </row>
    <row r="7" spans="2:7" x14ac:dyDescent="0.25">
      <c r="C7">
        <v>-180.43106399999999</v>
      </c>
      <c r="D7">
        <f>119*(121)</f>
        <v>14399</v>
      </c>
      <c r="F7">
        <f>((F5^2)/118)+((G5^2)/117)</f>
        <v>1.8466296193164202E-7</v>
      </c>
    </row>
    <row r="8" spans="2:7" x14ac:dyDescent="0.25">
      <c r="C8">
        <v>-323.49904800000002</v>
      </c>
      <c r="D8">
        <f>D7*F7</f>
        <v>2.6589619888537134E-3</v>
      </c>
      <c r="E8" t="s">
        <v>70</v>
      </c>
    </row>
    <row r="9" spans="2:7" x14ac:dyDescent="0.25">
      <c r="C9">
        <v>1206.0299970000001</v>
      </c>
    </row>
    <row r="10" spans="2:7" x14ac:dyDescent="0.25">
      <c r="C10">
        <v>-535.87204399999996</v>
      </c>
    </row>
    <row r="11" spans="2:7" x14ac:dyDescent="0.25">
      <c r="C11">
        <v>-284.99084699999997</v>
      </c>
    </row>
    <row r="12" spans="2:7" x14ac:dyDescent="0.25">
      <c r="C12">
        <v>-2063.3327159999999</v>
      </c>
      <c r="E12">
        <f>_xlfn.CHISQ.DIST.RT(D8,2)</f>
        <v>0.99867140237391328</v>
      </c>
      <c r="F12" t="s">
        <v>71</v>
      </c>
    </row>
    <row r="13" spans="2:7" x14ac:dyDescent="0.25">
      <c r="C13">
        <v>377.96136300000001</v>
      </c>
      <c r="E13" s="7" t="s">
        <v>72</v>
      </c>
    </row>
    <row r="14" spans="2:7" x14ac:dyDescent="0.25">
      <c r="C14">
        <v>1700.591175</v>
      </c>
    </row>
    <row r="15" spans="2:7" x14ac:dyDescent="0.25">
      <c r="C15">
        <v>1234.0127190000001</v>
      </c>
    </row>
    <row r="16" spans="2:7" x14ac:dyDescent="0.25">
      <c r="C16">
        <v>1425.9705120000001</v>
      </c>
    </row>
    <row r="17" spans="2:3" x14ac:dyDescent="0.25">
      <c r="B17" s="1">
        <v>41640</v>
      </c>
      <c r="C17">
        <v>-1870.776143</v>
      </c>
    </row>
    <row r="18" spans="2:3" x14ac:dyDescent="0.25">
      <c r="C18">
        <v>-1350.1171139999999</v>
      </c>
    </row>
    <row r="19" spans="2:3" x14ac:dyDescent="0.25">
      <c r="C19">
        <v>126.713989</v>
      </c>
    </row>
    <row r="20" spans="2:3" x14ac:dyDescent="0.25">
      <c r="C20">
        <v>-512.67709300000001</v>
      </c>
    </row>
    <row r="21" spans="2:3" x14ac:dyDescent="0.25">
      <c r="C21">
        <v>176.807275</v>
      </c>
    </row>
    <row r="22" spans="2:3" x14ac:dyDescent="0.25">
      <c r="C22">
        <v>814.71658300000001</v>
      </c>
    </row>
    <row r="23" spans="2:3" x14ac:dyDescent="0.25">
      <c r="C23">
        <v>-808.36407299999996</v>
      </c>
    </row>
    <row r="24" spans="2:3" x14ac:dyDescent="0.25">
      <c r="C24">
        <v>-340.945896</v>
      </c>
    </row>
    <row r="25" spans="2:3" x14ac:dyDescent="0.25">
      <c r="C25">
        <v>761.54261199999996</v>
      </c>
    </row>
    <row r="26" spans="2:3" x14ac:dyDescent="0.25">
      <c r="C26">
        <v>577.99916700000006</v>
      </c>
    </row>
    <row r="27" spans="2:3" x14ac:dyDescent="0.25">
      <c r="C27">
        <v>-1554.2995209999999</v>
      </c>
    </row>
    <row r="28" spans="2:3" x14ac:dyDescent="0.25">
      <c r="C28">
        <v>-226.59317300000001</v>
      </c>
    </row>
    <row r="29" spans="2:3" x14ac:dyDescent="0.25">
      <c r="B29" s="1">
        <v>42005</v>
      </c>
      <c r="C29">
        <v>-981.85514000000001</v>
      </c>
    </row>
    <row r="30" spans="2:3" x14ac:dyDescent="0.25">
      <c r="C30">
        <v>-1643.926843</v>
      </c>
    </row>
    <row r="31" spans="2:3" x14ac:dyDescent="0.25">
      <c r="C31">
        <v>640.76977199999999</v>
      </c>
    </row>
    <row r="32" spans="2:3" x14ac:dyDescent="0.25">
      <c r="C32">
        <v>251.18350699999999</v>
      </c>
    </row>
    <row r="33" spans="2:3" x14ac:dyDescent="0.25">
      <c r="C33">
        <v>-336.12383799999998</v>
      </c>
    </row>
    <row r="34" spans="2:3" x14ac:dyDescent="0.25">
      <c r="C34">
        <v>488.89444300000002</v>
      </c>
    </row>
    <row r="35" spans="2:3" x14ac:dyDescent="0.25">
      <c r="C35">
        <v>-1661.492536</v>
      </c>
    </row>
    <row r="36" spans="2:3" x14ac:dyDescent="0.25">
      <c r="C36">
        <v>94.213282000000007</v>
      </c>
    </row>
    <row r="37" spans="2:3" x14ac:dyDescent="0.25">
      <c r="C37">
        <v>299.98677199999997</v>
      </c>
    </row>
    <row r="38" spans="2:3" x14ac:dyDescent="0.25">
      <c r="C38">
        <v>-297.66960599999999</v>
      </c>
    </row>
    <row r="39" spans="2:3" x14ac:dyDescent="0.25">
      <c r="C39">
        <v>-1256.688643</v>
      </c>
    </row>
    <row r="40" spans="2:3" x14ac:dyDescent="0.25">
      <c r="C40">
        <v>64.751110999999995</v>
      </c>
    </row>
    <row r="41" spans="2:3" x14ac:dyDescent="0.25">
      <c r="B41" s="1">
        <v>42370</v>
      </c>
      <c r="C41">
        <v>-1008.358125</v>
      </c>
    </row>
    <row r="42" spans="2:3" x14ac:dyDescent="0.25">
      <c r="C42">
        <v>79.904283000000007</v>
      </c>
    </row>
    <row r="43" spans="2:3" x14ac:dyDescent="0.25">
      <c r="C43">
        <v>775.39916600000004</v>
      </c>
    </row>
    <row r="44" spans="2:3" x14ac:dyDescent="0.25">
      <c r="C44">
        <v>351.70744999999999</v>
      </c>
    </row>
    <row r="45" spans="2:3" x14ac:dyDescent="0.25">
      <c r="C45">
        <v>-125.31522</v>
      </c>
    </row>
    <row r="46" spans="2:3" x14ac:dyDescent="0.25">
      <c r="C46">
        <v>1529.1737189999999</v>
      </c>
    </row>
    <row r="47" spans="2:3" x14ac:dyDescent="0.25">
      <c r="C47">
        <v>-2557.2852029999999</v>
      </c>
    </row>
    <row r="48" spans="2:3" x14ac:dyDescent="0.25">
      <c r="C48">
        <v>1080.9756299999999</v>
      </c>
    </row>
    <row r="49" spans="2:3" x14ac:dyDescent="0.25">
      <c r="C49">
        <v>1145.8261199999999</v>
      </c>
    </row>
    <row r="50" spans="2:3" x14ac:dyDescent="0.25">
      <c r="C50">
        <v>645.56549800000005</v>
      </c>
    </row>
    <row r="51" spans="2:3" x14ac:dyDescent="0.25">
      <c r="C51">
        <v>908.52149499999996</v>
      </c>
    </row>
    <row r="52" spans="2:3" x14ac:dyDescent="0.25">
      <c r="C52">
        <v>759.50791900000002</v>
      </c>
    </row>
    <row r="53" spans="2:3" x14ac:dyDescent="0.25">
      <c r="B53" s="1">
        <v>42736</v>
      </c>
      <c r="C53">
        <v>-159.08422999999999</v>
      </c>
    </row>
    <row r="54" spans="2:3" x14ac:dyDescent="0.25">
      <c r="C54">
        <v>-1055.3867789999999</v>
      </c>
    </row>
    <row r="55" spans="2:3" x14ac:dyDescent="0.25">
      <c r="C55">
        <v>1468.6408280000001</v>
      </c>
    </row>
    <row r="56" spans="2:3" x14ac:dyDescent="0.25">
      <c r="C56">
        <v>-276.44498800000002</v>
      </c>
    </row>
    <row r="57" spans="2:3" x14ac:dyDescent="0.25">
      <c r="C57">
        <v>554.76907100000005</v>
      </c>
    </row>
    <row r="58" spans="2:3" x14ac:dyDescent="0.25">
      <c r="C58">
        <v>-2257.4401039999998</v>
      </c>
    </row>
    <row r="59" spans="2:3" x14ac:dyDescent="0.25">
      <c r="C59">
        <v>390.38794200000001</v>
      </c>
    </row>
    <row r="60" spans="2:3" x14ac:dyDescent="0.25">
      <c r="C60">
        <v>2338.018986</v>
      </c>
    </row>
    <row r="61" spans="2:3" x14ac:dyDescent="0.25">
      <c r="C61">
        <v>787.76839700000005</v>
      </c>
    </row>
    <row r="62" spans="2:3" x14ac:dyDescent="0.25">
      <c r="C62">
        <v>640.93229799999995</v>
      </c>
    </row>
    <row r="63" spans="2:3" x14ac:dyDescent="0.25">
      <c r="C63">
        <v>309.891682</v>
      </c>
    </row>
    <row r="64" spans="2:3" x14ac:dyDescent="0.25">
      <c r="C64">
        <v>-419.18891200000002</v>
      </c>
    </row>
    <row r="65" spans="2:3" x14ac:dyDescent="0.25">
      <c r="B65" s="1">
        <v>43101</v>
      </c>
      <c r="C65">
        <v>-624.78931499999999</v>
      </c>
    </row>
    <row r="66" spans="2:3" x14ac:dyDescent="0.25">
      <c r="C66">
        <v>-745.24702300000001</v>
      </c>
    </row>
    <row r="67" spans="2:3" x14ac:dyDescent="0.25">
      <c r="C67">
        <v>1047.1257619999999</v>
      </c>
    </row>
    <row r="68" spans="2:3" x14ac:dyDescent="0.25">
      <c r="C68">
        <v>-180.167507</v>
      </c>
    </row>
    <row r="69" spans="2:3" x14ac:dyDescent="0.25">
      <c r="C69">
        <v>1349.6324219999999</v>
      </c>
    </row>
    <row r="70" spans="2:3" x14ac:dyDescent="0.25">
      <c r="C70">
        <v>-2358.7982630000001</v>
      </c>
    </row>
    <row r="71" spans="2:3" x14ac:dyDescent="0.25">
      <c r="C71">
        <v>1538.610766</v>
      </c>
    </row>
    <row r="72" spans="2:3" x14ac:dyDescent="0.25">
      <c r="C72">
        <v>1093.533529</v>
      </c>
    </row>
    <row r="73" spans="2:3" x14ac:dyDescent="0.25">
      <c r="C73">
        <v>-564.38592700000004</v>
      </c>
    </row>
    <row r="74" spans="2:3" x14ac:dyDescent="0.25">
      <c r="C74">
        <v>345.85310299999998</v>
      </c>
    </row>
    <row r="75" spans="2:3" x14ac:dyDescent="0.25">
      <c r="C75">
        <v>-709.50476100000003</v>
      </c>
    </row>
    <row r="76" spans="2:3" x14ac:dyDescent="0.25">
      <c r="C76">
        <v>-1090.6778079999999</v>
      </c>
    </row>
    <row r="77" spans="2:3" x14ac:dyDescent="0.25">
      <c r="B77" s="1">
        <v>43466</v>
      </c>
      <c r="C77">
        <v>-793.11505899999997</v>
      </c>
    </row>
    <row r="78" spans="2:3" x14ac:dyDescent="0.25">
      <c r="C78">
        <v>-1495.034917</v>
      </c>
    </row>
    <row r="79" spans="2:3" x14ac:dyDescent="0.25">
      <c r="C79">
        <v>890.38246700000002</v>
      </c>
    </row>
    <row r="80" spans="2:3" x14ac:dyDescent="0.25">
      <c r="C80">
        <v>-474.49922900000001</v>
      </c>
    </row>
    <row r="81" spans="2:3" x14ac:dyDescent="0.25">
      <c r="C81">
        <v>1180.1096930000001</v>
      </c>
    </row>
    <row r="82" spans="2:3" x14ac:dyDescent="0.25">
      <c r="C82">
        <v>-2131.4003819999998</v>
      </c>
    </row>
    <row r="83" spans="2:3" x14ac:dyDescent="0.25">
      <c r="C83">
        <v>1853.5225809999999</v>
      </c>
    </row>
    <row r="84" spans="2:3" x14ac:dyDescent="0.25">
      <c r="C84">
        <v>684.957132</v>
      </c>
    </row>
    <row r="85" spans="2:3" x14ac:dyDescent="0.25">
      <c r="C85">
        <v>-168.47913600000001</v>
      </c>
    </row>
    <row r="86" spans="2:3" x14ac:dyDescent="0.25">
      <c r="C86">
        <v>538.69933200000003</v>
      </c>
    </row>
    <row r="87" spans="2:3" x14ac:dyDescent="0.25">
      <c r="C87">
        <v>-556.69046600000001</v>
      </c>
    </row>
    <row r="88" spans="2:3" x14ac:dyDescent="0.25">
      <c r="C88">
        <v>8.3914539999999995</v>
      </c>
    </row>
    <row r="89" spans="2:3" x14ac:dyDescent="0.25">
      <c r="B89" s="1">
        <v>43831</v>
      </c>
      <c r="C89">
        <v>-268.79772700000001</v>
      </c>
    </row>
    <row r="90" spans="2:3" x14ac:dyDescent="0.25">
      <c r="C90">
        <v>-1412.058759</v>
      </c>
    </row>
    <row r="91" spans="2:3" x14ac:dyDescent="0.25">
      <c r="C91">
        <v>823.84715600000004</v>
      </c>
    </row>
    <row r="92" spans="2:3" x14ac:dyDescent="0.25">
      <c r="C92">
        <v>-535.60660299999995</v>
      </c>
    </row>
    <row r="93" spans="2:3" x14ac:dyDescent="0.25">
      <c r="C93">
        <v>1156.442787</v>
      </c>
    </row>
    <row r="94" spans="2:3" x14ac:dyDescent="0.25">
      <c r="C94">
        <v>-2132.5317230000001</v>
      </c>
    </row>
    <row r="95" spans="2:3" x14ac:dyDescent="0.25">
      <c r="C95">
        <v>1858.1854780000001</v>
      </c>
    </row>
    <row r="96" spans="2:3" x14ac:dyDescent="0.25">
      <c r="C96">
        <v>688.17468499999995</v>
      </c>
    </row>
    <row r="97" spans="2:3" x14ac:dyDescent="0.25">
      <c r="C97">
        <v>-167.496622</v>
      </c>
    </row>
    <row r="98" spans="2:3" x14ac:dyDescent="0.25">
      <c r="C98">
        <v>538.59152200000005</v>
      </c>
    </row>
    <row r="99" spans="2:3" x14ac:dyDescent="0.25">
      <c r="C99">
        <v>-556.98230599999999</v>
      </c>
    </row>
    <row r="100" spans="2:3" x14ac:dyDescent="0.25">
      <c r="C100">
        <v>8.2306869999999996</v>
      </c>
    </row>
    <row r="101" spans="2:3" x14ac:dyDescent="0.25">
      <c r="B101" s="1">
        <v>44197</v>
      </c>
      <c r="C101">
        <v>-660.53343600000005</v>
      </c>
    </row>
    <row r="102" spans="2:3" x14ac:dyDescent="0.25">
      <c r="C102">
        <v>-15.522259999999999</v>
      </c>
    </row>
    <row r="103" spans="2:3" x14ac:dyDescent="0.25">
      <c r="C103">
        <v>129.53104300000001</v>
      </c>
    </row>
    <row r="104" spans="2:3" x14ac:dyDescent="0.25">
      <c r="C104">
        <v>-1785.735723</v>
      </c>
    </row>
    <row r="105" spans="2:3" x14ac:dyDescent="0.25">
      <c r="C105">
        <v>-2870.3560859999998</v>
      </c>
    </row>
    <row r="106" spans="2:3" x14ac:dyDescent="0.25">
      <c r="C106">
        <v>137.92886200000001</v>
      </c>
    </row>
    <row r="107" spans="2:3" x14ac:dyDescent="0.25">
      <c r="C107">
        <v>2423.2998830000001</v>
      </c>
    </row>
    <row r="108" spans="2:3" x14ac:dyDescent="0.25">
      <c r="C108">
        <v>872.51208899999995</v>
      </c>
    </row>
    <row r="109" spans="2:3" x14ac:dyDescent="0.25">
      <c r="C109">
        <v>903.84293300000002</v>
      </c>
    </row>
    <row r="110" spans="2:3" x14ac:dyDescent="0.25">
      <c r="C110">
        <v>782.63676499999997</v>
      </c>
    </row>
    <row r="111" spans="2:3" x14ac:dyDescent="0.25">
      <c r="C111">
        <v>1186.3632749999999</v>
      </c>
    </row>
    <row r="112" spans="2:3" x14ac:dyDescent="0.25">
      <c r="C112">
        <v>1856.4345619999999</v>
      </c>
    </row>
    <row r="113" spans="2:3" x14ac:dyDescent="0.25">
      <c r="B113" s="1">
        <v>44562</v>
      </c>
      <c r="C113">
        <v>-330.55469799999997</v>
      </c>
    </row>
    <row r="114" spans="2:3" x14ac:dyDescent="0.25">
      <c r="C114">
        <v>-676.75613099999998</v>
      </c>
    </row>
    <row r="115" spans="2:3" x14ac:dyDescent="0.25">
      <c r="C115">
        <v>2788.5081850000001</v>
      </c>
    </row>
    <row r="116" spans="2:3" x14ac:dyDescent="0.25">
      <c r="C116">
        <v>1999.9058500000001</v>
      </c>
    </row>
    <row r="117" spans="2:3" x14ac:dyDescent="0.25">
      <c r="C117">
        <v>-930.44951100000003</v>
      </c>
    </row>
    <row r="118" spans="2:3" x14ac:dyDescent="0.25">
      <c r="C118">
        <v>594.36938599999996</v>
      </c>
    </row>
    <row r="119" spans="2:3" x14ac:dyDescent="0.25">
      <c r="C119">
        <v>1410.7019600000001</v>
      </c>
    </row>
    <row r="120" spans="2:3" x14ac:dyDescent="0.25">
      <c r="C120">
        <v>2834.0661679999998</v>
      </c>
    </row>
    <row r="121" spans="2:3" x14ac:dyDescent="0.25">
      <c r="C121">
        <v>654.10336600000005</v>
      </c>
    </row>
    <row r="122" spans="2:3" x14ac:dyDescent="0.25">
      <c r="C122">
        <v>1243.086446</v>
      </c>
    </row>
    <row r="123" spans="2:3" x14ac:dyDescent="0.25">
      <c r="C123">
        <v>1394.870891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topLeftCell="A4" workbookViewId="0">
      <selection activeCell="J23" sqref="J23"/>
    </sheetView>
  </sheetViews>
  <sheetFormatPr defaultRowHeight="15" x14ac:dyDescent="0.25"/>
  <sheetData>
    <row r="1" spans="1:9" x14ac:dyDescent="0.25">
      <c r="A1" t="s">
        <v>74</v>
      </c>
    </row>
    <row r="2" spans="1:9" ht="15.75" thickBot="1" x14ac:dyDescent="0.3"/>
    <row r="3" spans="1:9" x14ac:dyDescent="0.25">
      <c r="A3" s="10" t="s">
        <v>75</v>
      </c>
      <c r="B3" s="10"/>
    </row>
    <row r="4" spans="1:9" x14ac:dyDescent="0.25">
      <c r="A4" t="s">
        <v>76</v>
      </c>
      <c r="B4">
        <v>0.23899339662290009</v>
      </c>
    </row>
    <row r="5" spans="1:9" x14ac:dyDescent="0.25">
      <c r="A5" t="s">
        <v>77</v>
      </c>
      <c r="B5">
        <v>5.711784362935083E-2</v>
      </c>
    </row>
    <row r="6" spans="1:9" x14ac:dyDescent="0.25">
      <c r="A6" t="s">
        <v>78</v>
      </c>
      <c r="B6">
        <v>4.8918868356562575E-2</v>
      </c>
    </row>
    <row r="7" spans="1:9" x14ac:dyDescent="0.25">
      <c r="A7" t="s">
        <v>79</v>
      </c>
      <c r="B7">
        <v>1370.5764099552625</v>
      </c>
    </row>
    <row r="8" spans="1:9" ht="15.75" thickBot="1" x14ac:dyDescent="0.3">
      <c r="A8" s="8" t="s">
        <v>80</v>
      </c>
      <c r="B8" s="8">
        <v>117</v>
      </c>
    </row>
    <row r="10" spans="1:9" ht="15.75" thickBot="1" x14ac:dyDescent="0.3">
      <c r="A10" t="s">
        <v>81</v>
      </c>
    </row>
    <row r="11" spans="1:9" x14ac:dyDescent="0.25">
      <c r="A11" s="9"/>
      <c r="B11" s="9" t="s">
        <v>31</v>
      </c>
      <c r="C11" s="9" t="s">
        <v>86</v>
      </c>
      <c r="D11" s="9" t="s">
        <v>87</v>
      </c>
      <c r="E11" s="9" t="s">
        <v>88</v>
      </c>
      <c r="F11" s="9" t="s">
        <v>89</v>
      </c>
    </row>
    <row r="12" spans="1:9" x14ac:dyDescent="0.25">
      <c r="A12" t="s">
        <v>82</v>
      </c>
      <c r="B12">
        <v>1</v>
      </c>
      <c r="C12">
        <v>13086356.031107813</v>
      </c>
      <c r="D12">
        <v>13086356.031107813</v>
      </c>
      <c r="E12">
        <v>6.9664612624117073</v>
      </c>
      <c r="F12">
        <v>9.4570612554416428E-3</v>
      </c>
    </row>
    <row r="13" spans="1:9" x14ac:dyDescent="0.25">
      <c r="A13" t="s">
        <v>83</v>
      </c>
      <c r="B13">
        <v>115</v>
      </c>
      <c r="C13">
        <v>216025164.98547342</v>
      </c>
      <c r="D13">
        <v>1878479.6955258558</v>
      </c>
    </row>
    <row r="14" spans="1:9" ht="15.75" thickBot="1" x14ac:dyDescent="0.3">
      <c r="A14" s="8" t="s">
        <v>84</v>
      </c>
      <c r="B14" s="8">
        <v>116</v>
      </c>
      <c r="C14" s="8">
        <v>229111521.01658124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90</v>
      </c>
      <c r="C16" s="9" t="s">
        <v>79</v>
      </c>
      <c r="D16" s="9" t="s">
        <v>91</v>
      </c>
      <c r="E16" s="9" t="s">
        <v>92</v>
      </c>
      <c r="F16" s="9" t="s">
        <v>93</v>
      </c>
      <c r="G16" s="9" t="s">
        <v>94</v>
      </c>
      <c r="H16" s="9" t="s">
        <v>95</v>
      </c>
      <c r="I16" s="9" t="s">
        <v>96</v>
      </c>
    </row>
    <row r="17" spans="1:9" x14ac:dyDescent="0.25">
      <c r="A17" t="s">
        <v>85</v>
      </c>
      <c r="B17">
        <v>2449.3146151952351</v>
      </c>
      <c r="C17">
        <v>911.47528271477063</v>
      </c>
      <c r="D17">
        <v>2.6871980641099875</v>
      </c>
      <c r="E17">
        <v>8.2741275898694511E-3</v>
      </c>
      <c r="F17">
        <v>643.85750166399907</v>
      </c>
      <c r="G17">
        <v>4254.7717287264713</v>
      </c>
      <c r="H17">
        <v>643.85750166399907</v>
      </c>
      <c r="I17">
        <v>4254.7717287264713</v>
      </c>
    </row>
    <row r="18" spans="1:9" ht="15.75" thickBot="1" x14ac:dyDescent="0.3">
      <c r="A18" s="8">
        <v>15375.5</v>
      </c>
      <c r="B18" s="8">
        <v>-0.16666448025595951</v>
      </c>
      <c r="C18" s="8">
        <v>6.3144705056950468E-2</v>
      </c>
      <c r="D18" s="8">
        <v>-2.6394054751802885</v>
      </c>
      <c r="E18" s="8">
        <v>9.4570612554417139E-3</v>
      </c>
      <c r="F18" s="8">
        <v>-0.29174198821354924</v>
      </c>
      <c r="G18" s="8">
        <v>-4.1586972298369801E-2</v>
      </c>
      <c r="H18" s="8">
        <v>-0.29174198821354924</v>
      </c>
      <c r="I18" s="8">
        <v>-4.1586972298369801E-2</v>
      </c>
    </row>
    <row r="20" spans="1:9" x14ac:dyDescent="0.25">
      <c r="D20" t="s">
        <v>97</v>
      </c>
      <c r="F20" t="s">
        <v>98</v>
      </c>
    </row>
    <row r="21" spans="1:9" ht="15.75" thickBot="1" x14ac:dyDescent="0.3">
      <c r="D21" s="8">
        <v>-2.6394054751802885</v>
      </c>
      <c r="E21" t="s">
        <v>99</v>
      </c>
      <c r="F21">
        <f>_xlfn.T.INV.2T(0.05,117)</f>
        <v>1.9804475986834036</v>
      </c>
      <c r="H21" t="s">
        <v>100</v>
      </c>
    </row>
    <row r="22" spans="1:9" ht="15.75" thickBot="1" x14ac:dyDescent="0.3">
      <c r="D22" s="8">
        <v>9.4570612554417139E-3</v>
      </c>
      <c r="E22" t="s">
        <v>99</v>
      </c>
      <c r="F22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133"/>
  <sheetViews>
    <sheetView topLeftCell="A3" workbookViewId="0">
      <selection activeCell="G133" sqref="F14:G133"/>
    </sheetView>
  </sheetViews>
  <sheetFormatPr defaultRowHeight="15" x14ac:dyDescent="0.25"/>
  <sheetData>
    <row r="2" spans="2:14" x14ac:dyDescent="0.25">
      <c r="B2" s="3" t="s">
        <v>73</v>
      </c>
    </row>
    <row r="3" spans="2:14" x14ac:dyDescent="0.25">
      <c r="B3" s="4"/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</row>
    <row r="4" spans="2:14" x14ac:dyDescent="0.25">
      <c r="B4" s="4">
        <v>2013</v>
      </c>
      <c r="D4">
        <v>-359.9</v>
      </c>
      <c r="E4">
        <v>9</v>
      </c>
      <c r="F4">
        <v>-263.7</v>
      </c>
      <c r="G4">
        <v>1372.5</v>
      </c>
      <c r="H4">
        <v>-1374.6</v>
      </c>
      <c r="I4">
        <v>329.1</v>
      </c>
      <c r="J4">
        <v>-2004.2</v>
      </c>
      <c r="K4">
        <v>1623.1</v>
      </c>
      <c r="L4">
        <v>991.5</v>
      </c>
      <c r="M4">
        <v>240.3</v>
      </c>
      <c r="N4">
        <v>1029.2</v>
      </c>
    </row>
    <row r="5" spans="2:14" x14ac:dyDescent="0.25">
      <c r="B5" s="4">
        <v>2014</v>
      </c>
      <c r="C5">
        <v>-2495.5</v>
      </c>
      <c r="D5">
        <v>161.80000000000001</v>
      </c>
      <c r="E5">
        <v>558.5</v>
      </c>
      <c r="F5">
        <v>-900.1</v>
      </c>
      <c r="G5">
        <v>531.1</v>
      </c>
      <c r="H5">
        <v>585.9</v>
      </c>
      <c r="I5">
        <v>-1285.4000000000001</v>
      </c>
      <c r="J5">
        <v>357.5</v>
      </c>
      <c r="K5">
        <v>794.2</v>
      </c>
      <c r="L5">
        <v>17</v>
      </c>
      <c r="M5">
        <v>-1748.1</v>
      </c>
      <c r="N5">
        <v>891.6</v>
      </c>
    </row>
    <row r="6" spans="2:14" x14ac:dyDescent="0.25">
      <c r="B6" s="4">
        <v>2015</v>
      </c>
      <c r="C6">
        <v>-1191.4000000000001</v>
      </c>
      <c r="D6">
        <v>-1072.0999999999999</v>
      </c>
      <c r="E6">
        <v>1461.2</v>
      </c>
      <c r="F6">
        <v>-529.4</v>
      </c>
      <c r="G6">
        <v>-349.9</v>
      </c>
      <c r="H6">
        <v>759.4</v>
      </c>
      <c r="I6">
        <v>-2048.3000000000002</v>
      </c>
      <c r="J6">
        <v>1260.2</v>
      </c>
      <c r="K6">
        <v>-137.6</v>
      </c>
      <c r="L6">
        <v>-466.7</v>
      </c>
      <c r="M6">
        <v>-999.5</v>
      </c>
      <c r="N6">
        <v>794.9</v>
      </c>
    </row>
    <row r="7" spans="2:14" x14ac:dyDescent="0.25">
      <c r="B7" s="4">
        <v>2016</v>
      </c>
      <c r="C7">
        <v>-1335.2</v>
      </c>
      <c r="D7">
        <v>734.8</v>
      </c>
      <c r="E7">
        <v>495.4</v>
      </c>
      <c r="F7">
        <v>-122.4</v>
      </c>
      <c r="G7">
        <v>-172.3</v>
      </c>
      <c r="H7">
        <v>1688.7</v>
      </c>
      <c r="I7">
        <v>-3556.6</v>
      </c>
      <c r="J7">
        <v>3052.2</v>
      </c>
      <c r="K7">
        <v>-121.9</v>
      </c>
      <c r="L7">
        <v>163.9</v>
      </c>
      <c r="M7">
        <v>759.2</v>
      </c>
      <c r="N7">
        <v>329.5</v>
      </c>
    </row>
    <row r="8" spans="2:14" x14ac:dyDescent="0.25">
      <c r="B8" s="4">
        <v>2017</v>
      </c>
      <c r="C8">
        <v>-434.7</v>
      </c>
      <c r="D8">
        <v>-781.7</v>
      </c>
      <c r="E8">
        <v>2102.5</v>
      </c>
      <c r="F8">
        <v>-1448.8</v>
      </c>
      <c r="G8">
        <v>1064.2</v>
      </c>
      <c r="H8">
        <v>-2672.5</v>
      </c>
      <c r="I8">
        <v>1949.7</v>
      </c>
      <c r="J8">
        <v>1576.9</v>
      </c>
      <c r="K8">
        <v>-607.79999999999995</v>
      </c>
      <c r="L8">
        <v>672.4</v>
      </c>
      <c r="M8">
        <v>82.1</v>
      </c>
      <c r="N8">
        <v>-470.2</v>
      </c>
    </row>
    <row r="9" spans="2:14" x14ac:dyDescent="0.25">
      <c r="B9" s="4">
        <v>2018</v>
      </c>
      <c r="C9">
        <v>-288.2</v>
      </c>
      <c r="D9">
        <v>-443.9</v>
      </c>
      <c r="E9">
        <v>1378.2</v>
      </c>
      <c r="F9">
        <v>-1014.4</v>
      </c>
      <c r="G9">
        <v>1702.1</v>
      </c>
      <c r="H9">
        <v>-3256.6</v>
      </c>
      <c r="I9">
        <v>3343</v>
      </c>
      <c r="J9">
        <v>-419.6</v>
      </c>
      <c r="K9">
        <v>-908.8</v>
      </c>
      <c r="L9">
        <v>952.8</v>
      </c>
      <c r="M9">
        <v>-1057.4000000000001</v>
      </c>
      <c r="N9">
        <v>-561.6</v>
      </c>
    </row>
    <row r="10" spans="2:14" x14ac:dyDescent="0.25">
      <c r="B10" s="4">
        <v>2019</v>
      </c>
      <c r="C10">
        <v>-262</v>
      </c>
      <c r="D10">
        <v>-1239.5</v>
      </c>
      <c r="E10">
        <v>1659.2</v>
      </c>
      <c r="F10">
        <v>-1379.7</v>
      </c>
      <c r="G10">
        <v>1683.8</v>
      </c>
      <c r="H10">
        <v>-2988.5</v>
      </c>
      <c r="I10">
        <v>3475</v>
      </c>
      <c r="J10">
        <v>-976.4</v>
      </c>
      <c r="K10">
        <v>-181.9</v>
      </c>
      <c r="L10">
        <v>801.4</v>
      </c>
      <c r="M10">
        <v>-937</v>
      </c>
      <c r="N10">
        <v>484.3</v>
      </c>
    </row>
    <row r="11" spans="2:14" x14ac:dyDescent="0.25">
      <c r="B11" s="4">
        <v>2020</v>
      </c>
      <c r="C11">
        <v>-400.7</v>
      </c>
      <c r="D11">
        <v>-1239.5</v>
      </c>
      <c r="E11">
        <v>1659.2</v>
      </c>
      <c r="F11">
        <v>-1379.7</v>
      </c>
      <c r="G11">
        <v>1683.8</v>
      </c>
      <c r="H11">
        <v>-2988.5</v>
      </c>
      <c r="I11">
        <v>3475</v>
      </c>
      <c r="J11">
        <v>-976.4</v>
      </c>
      <c r="K11">
        <v>-181.9</v>
      </c>
      <c r="L11">
        <v>801.4</v>
      </c>
      <c r="M11">
        <v>-937</v>
      </c>
      <c r="N11">
        <v>484.3</v>
      </c>
    </row>
    <row r="12" spans="2:14" x14ac:dyDescent="0.25">
      <c r="B12" s="4">
        <v>2021</v>
      </c>
      <c r="C12">
        <v>-792.4</v>
      </c>
      <c r="D12">
        <v>405.7</v>
      </c>
      <c r="E12">
        <v>-10.8</v>
      </c>
      <c r="F12">
        <v>-1871.5</v>
      </c>
      <c r="G12">
        <v>-1707.2</v>
      </c>
      <c r="H12">
        <v>1554.2</v>
      </c>
      <c r="I12">
        <v>1683.1</v>
      </c>
      <c r="J12">
        <v>-634.6</v>
      </c>
      <c r="K12">
        <v>900.9</v>
      </c>
      <c r="L12">
        <v>407.2</v>
      </c>
      <c r="M12">
        <v>895</v>
      </c>
      <c r="N12">
        <v>1281.2</v>
      </c>
    </row>
    <row r="13" spans="2:14" x14ac:dyDescent="0.25">
      <c r="B13" s="4">
        <v>2022</v>
      </c>
      <c r="C13">
        <v>-1239.4000000000001</v>
      </c>
      <c r="D13">
        <v>-44.8</v>
      </c>
      <c r="E13">
        <v>3143</v>
      </c>
      <c r="F13">
        <v>75.7</v>
      </c>
      <c r="G13">
        <v>-1566.1</v>
      </c>
      <c r="H13">
        <v>1639.8</v>
      </c>
      <c r="I13">
        <v>821.8</v>
      </c>
      <c r="J13">
        <v>2073.6</v>
      </c>
      <c r="K13">
        <v>-824.4</v>
      </c>
      <c r="L13">
        <v>1472.2</v>
      </c>
      <c r="M13">
        <v>754.4</v>
      </c>
    </row>
    <row r="14" spans="2:14" x14ac:dyDescent="0.25">
      <c r="B14" s="4"/>
      <c r="F14" t="s">
        <v>0</v>
      </c>
      <c r="G14" t="s">
        <v>1</v>
      </c>
    </row>
    <row r="15" spans="2:14" x14ac:dyDescent="0.25">
      <c r="B15" s="4">
        <v>2013</v>
      </c>
      <c r="F15" s="1">
        <v>41275</v>
      </c>
      <c r="G15">
        <v>15375.5</v>
      </c>
    </row>
    <row r="16" spans="2:14" x14ac:dyDescent="0.25">
      <c r="B16" s="4"/>
      <c r="C16">
        <v>-359.9</v>
      </c>
      <c r="F16" s="1">
        <v>41306</v>
      </c>
      <c r="G16">
        <v>15015.6</v>
      </c>
    </row>
    <row r="17" spans="2:7" x14ac:dyDescent="0.25">
      <c r="B17" s="4"/>
      <c r="C17">
        <v>9</v>
      </c>
      <c r="F17" s="1">
        <v>41334</v>
      </c>
      <c r="G17">
        <v>15024.6</v>
      </c>
    </row>
    <row r="18" spans="2:7" x14ac:dyDescent="0.25">
      <c r="B18" s="4"/>
      <c r="C18">
        <v>-263.7</v>
      </c>
      <c r="F18" s="1">
        <v>41365</v>
      </c>
      <c r="G18">
        <v>14760.9</v>
      </c>
    </row>
    <row r="19" spans="2:7" x14ac:dyDescent="0.25">
      <c r="B19" s="4"/>
      <c r="C19">
        <v>1372.5</v>
      </c>
      <c r="F19" s="1">
        <v>41395</v>
      </c>
      <c r="G19">
        <v>16133.4</v>
      </c>
    </row>
    <row r="20" spans="2:7" x14ac:dyDescent="0.25">
      <c r="B20" s="4"/>
      <c r="C20">
        <v>-1374.6</v>
      </c>
      <c r="F20" s="1">
        <v>41426</v>
      </c>
      <c r="G20">
        <v>14758.8</v>
      </c>
    </row>
    <row r="21" spans="2:7" x14ac:dyDescent="0.25">
      <c r="B21" s="4"/>
      <c r="C21">
        <v>329.1</v>
      </c>
      <c r="F21" s="1">
        <v>41456</v>
      </c>
      <c r="G21">
        <v>15087.9</v>
      </c>
    </row>
    <row r="22" spans="2:7" x14ac:dyDescent="0.25">
      <c r="B22" s="4"/>
      <c r="C22">
        <v>-2004.2</v>
      </c>
      <c r="F22" s="1">
        <v>41487</v>
      </c>
      <c r="G22">
        <v>13083.7</v>
      </c>
    </row>
    <row r="23" spans="2:7" x14ac:dyDescent="0.25">
      <c r="B23" s="4"/>
      <c r="C23">
        <v>1623.1</v>
      </c>
      <c r="F23" s="1">
        <v>41518</v>
      </c>
      <c r="G23">
        <v>14706.8</v>
      </c>
    </row>
    <row r="24" spans="2:7" x14ac:dyDescent="0.25">
      <c r="B24" s="4"/>
      <c r="C24">
        <v>991.5</v>
      </c>
      <c r="F24" s="1">
        <v>41548</v>
      </c>
      <c r="G24">
        <v>15698.3</v>
      </c>
    </row>
    <row r="25" spans="2:7" x14ac:dyDescent="0.25">
      <c r="B25" s="4"/>
      <c r="C25">
        <v>240.3</v>
      </c>
      <c r="F25" s="1">
        <v>41579</v>
      </c>
      <c r="G25">
        <v>15938.6</v>
      </c>
    </row>
    <row r="26" spans="2:7" x14ac:dyDescent="0.25">
      <c r="B26" s="4"/>
      <c r="C26">
        <v>1029.2</v>
      </c>
      <c r="F26" s="1">
        <v>41609</v>
      </c>
      <c r="G26">
        <v>16967.8</v>
      </c>
    </row>
    <row r="27" spans="2:7" x14ac:dyDescent="0.25">
      <c r="B27" s="4">
        <v>2014</v>
      </c>
      <c r="C27">
        <v>-2495.5</v>
      </c>
      <c r="F27" s="1">
        <v>41640</v>
      </c>
      <c r="G27">
        <v>14472.3</v>
      </c>
    </row>
    <row r="28" spans="2:7" x14ac:dyDescent="0.25">
      <c r="B28" s="4"/>
      <c r="C28">
        <v>161.80000000000001</v>
      </c>
      <c r="F28" s="1">
        <v>41671</v>
      </c>
      <c r="G28">
        <v>14634.1</v>
      </c>
    </row>
    <row r="29" spans="2:7" x14ac:dyDescent="0.25">
      <c r="B29" s="4"/>
      <c r="C29">
        <v>558.5</v>
      </c>
      <c r="F29" s="1">
        <v>41699</v>
      </c>
      <c r="G29">
        <v>15192.6</v>
      </c>
    </row>
    <row r="30" spans="2:7" x14ac:dyDescent="0.25">
      <c r="B30" s="4"/>
      <c r="C30">
        <v>-900.1</v>
      </c>
      <c r="F30" s="1">
        <v>41730</v>
      </c>
      <c r="G30">
        <v>14292.5</v>
      </c>
    </row>
    <row r="31" spans="2:7" x14ac:dyDescent="0.25">
      <c r="B31" s="4"/>
      <c r="C31">
        <v>531.1</v>
      </c>
      <c r="F31" s="1">
        <v>41760</v>
      </c>
      <c r="G31">
        <v>14823.6</v>
      </c>
    </row>
    <row r="32" spans="2:7" x14ac:dyDescent="0.25">
      <c r="B32" s="4"/>
      <c r="C32">
        <v>585.9</v>
      </c>
      <c r="F32" s="1">
        <v>41791</v>
      </c>
      <c r="G32">
        <v>15409.5</v>
      </c>
    </row>
    <row r="33" spans="2:7" x14ac:dyDescent="0.25">
      <c r="B33" s="4"/>
      <c r="C33">
        <v>-1285.4000000000001</v>
      </c>
      <c r="F33" s="1">
        <v>41821</v>
      </c>
      <c r="G33">
        <v>14124.1</v>
      </c>
    </row>
    <row r="34" spans="2:7" x14ac:dyDescent="0.25">
      <c r="B34" s="4"/>
      <c r="C34">
        <v>357.5</v>
      </c>
      <c r="F34" s="1">
        <v>41852</v>
      </c>
      <c r="G34">
        <v>14481.6</v>
      </c>
    </row>
    <row r="35" spans="2:7" x14ac:dyDescent="0.25">
      <c r="B35" s="5"/>
      <c r="C35">
        <v>794.2</v>
      </c>
      <c r="F35" s="1">
        <v>41883</v>
      </c>
      <c r="G35">
        <v>15275.8</v>
      </c>
    </row>
    <row r="36" spans="2:7" x14ac:dyDescent="0.25">
      <c r="C36">
        <v>17</v>
      </c>
      <c r="F36" s="1">
        <v>41913</v>
      </c>
      <c r="G36">
        <v>15292.8</v>
      </c>
    </row>
    <row r="37" spans="2:7" x14ac:dyDescent="0.25">
      <c r="C37">
        <v>-1748.1</v>
      </c>
      <c r="F37" s="1">
        <v>41944</v>
      </c>
      <c r="G37">
        <v>13544.7</v>
      </c>
    </row>
    <row r="38" spans="2:7" x14ac:dyDescent="0.25">
      <c r="C38">
        <v>891.6</v>
      </c>
      <c r="F38" s="1">
        <v>41974</v>
      </c>
      <c r="G38">
        <v>14436.3</v>
      </c>
    </row>
    <row r="39" spans="2:7" x14ac:dyDescent="0.25">
      <c r="B39">
        <v>2015</v>
      </c>
      <c r="C39">
        <v>-1191.4000000000001</v>
      </c>
      <c r="F39" s="1">
        <v>42005</v>
      </c>
      <c r="G39">
        <v>13244.9</v>
      </c>
    </row>
    <row r="40" spans="2:7" x14ac:dyDescent="0.25">
      <c r="C40">
        <v>-1072.0999999999999</v>
      </c>
      <c r="F40" s="1">
        <v>42036</v>
      </c>
      <c r="G40">
        <v>12172.8</v>
      </c>
    </row>
    <row r="41" spans="2:7" x14ac:dyDescent="0.25">
      <c r="C41">
        <v>1461.2</v>
      </c>
      <c r="F41" s="1">
        <v>42064</v>
      </c>
      <c r="G41">
        <v>13634</v>
      </c>
    </row>
    <row r="42" spans="2:7" x14ac:dyDescent="0.25">
      <c r="C42">
        <v>-529.4</v>
      </c>
      <c r="F42" s="1">
        <v>42095</v>
      </c>
      <c r="G42">
        <v>13104.6</v>
      </c>
    </row>
    <row r="43" spans="2:7" x14ac:dyDescent="0.25">
      <c r="C43">
        <v>-349.9</v>
      </c>
      <c r="F43" s="1">
        <v>42125</v>
      </c>
      <c r="G43">
        <v>12754.7</v>
      </c>
    </row>
    <row r="44" spans="2:7" x14ac:dyDescent="0.25">
      <c r="C44">
        <v>759.4</v>
      </c>
      <c r="F44" s="1">
        <v>42156</v>
      </c>
      <c r="G44">
        <v>13514.1</v>
      </c>
    </row>
    <row r="45" spans="2:7" x14ac:dyDescent="0.25">
      <c r="C45">
        <v>-2048.3000000000002</v>
      </c>
      <c r="F45" s="1">
        <v>42186</v>
      </c>
      <c r="G45">
        <v>11465.8</v>
      </c>
    </row>
    <row r="46" spans="2:7" x14ac:dyDescent="0.25">
      <c r="C46">
        <v>1260.2</v>
      </c>
      <c r="F46" s="1">
        <v>42217</v>
      </c>
      <c r="G46">
        <v>12726</v>
      </c>
    </row>
    <row r="47" spans="2:7" x14ac:dyDescent="0.25">
      <c r="C47">
        <v>-137.6</v>
      </c>
      <c r="F47" s="1">
        <v>42248</v>
      </c>
      <c r="G47">
        <v>12588.4</v>
      </c>
    </row>
    <row r="48" spans="2:7" x14ac:dyDescent="0.25">
      <c r="C48">
        <v>-466.7</v>
      </c>
      <c r="F48" s="1">
        <v>42278</v>
      </c>
      <c r="G48">
        <v>12121.7</v>
      </c>
    </row>
    <row r="49" spans="2:7" x14ac:dyDescent="0.25">
      <c r="C49">
        <v>-999.5</v>
      </c>
      <c r="F49" s="1">
        <v>42309</v>
      </c>
      <c r="G49">
        <v>11122.2</v>
      </c>
    </row>
    <row r="50" spans="2:7" x14ac:dyDescent="0.25">
      <c r="C50">
        <v>794.9</v>
      </c>
      <c r="F50" s="1">
        <v>42339</v>
      </c>
      <c r="G50">
        <v>11917.1</v>
      </c>
    </row>
    <row r="51" spans="2:7" x14ac:dyDescent="0.25">
      <c r="B51">
        <v>2016</v>
      </c>
      <c r="C51">
        <v>-1335.2</v>
      </c>
      <c r="F51" s="1">
        <v>42370</v>
      </c>
      <c r="G51">
        <v>10581.9</v>
      </c>
    </row>
    <row r="52" spans="2:7" x14ac:dyDescent="0.25">
      <c r="C52">
        <v>734.8</v>
      </c>
      <c r="F52" s="1">
        <v>42401</v>
      </c>
      <c r="G52">
        <v>11316.7</v>
      </c>
    </row>
    <row r="53" spans="2:7" x14ac:dyDescent="0.25">
      <c r="C53">
        <v>495.4</v>
      </c>
      <c r="F53" s="1">
        <v>42430</v>
      </c>
      <c r="G53">
        <v>11812.1</v>
      </c>
    </row>
    <row r="54" spans="2:7" x14ac:dyDescent="0.25">
      <c r="C54">
        <v>-122.4</v>
      </c>
      <c r="F54" s="1">
        <v>42461</v>
      </c>
      <c r="G54">
        <v>11689.7</v>
      </c>
    </row>
    <row r="55" spans="2:7" x14ac:dyDescent="0.25">
      <c r="C55">
        <v>-172.3</v>
      </c>
      <c r="F55" s="1">
        <v>42491</v>
      </c>
      <c r="G55">
        <v>11517.4</v>
      </c>
    </row>
    <row r="56" spans="2:7" x14ac:dyDescent="0.25">
      <c r="C56">
        <v>1688.7</v>
      </c>
      <c r="F56" s="1">
        <v>42522</v>
      </c>
      <c r="G56">
        <v>13206.1</v>
      </c>
    </row>
    <row r="57" spans="2:7" x14ac:dyDescent="0.25">
      <c r="C57">
        <v>-3556.6</v>
      </c>
      <c r="F57" s="1">
        <v>42552</v>
      </c>
      <c r="G57">
        <v>9649.5</v>
      </c>
    </row>
    <row r="58" spans="2:7" x14ac:dyDescent="0.25">
      <c r="C58">
        <v>3052.2</v>
      </c>
      <c r="F58" s="1">
        <v>42583</v>
      </c>
      <c r="G58">
        <v>12701.7</v>
      </c>
    </row>
    <row r="59" spans="2:7" x14ac:dyDescent="0.25">
      <c r="C59">
        <v>-121.9</v>
      </c>
      <c r="F59" s="1">
        <v>42614</v>
      </c>
      <c r="G59">
        <v>12579.8</v>
      </c>
    </row>
    <row r="60" spans="2:7" x14ac:dyDescent="0.25">
      <c r="C60">
        <v>163.9</v>
      </c>
      <c r="F60" s="1">
        <v>42644</v>
      </c>
      <c r="G60">
        <v>12743.7</v>
      </c>
    </row>
    <row r="61" spans="2:7" x14ac:dyDescent="0.25">
      <c r="C61">
        <v>759.2</v>
      </c>
      <c r="F61" s="1">
        <v>42675</v>
      </c>
      <c r="G61">
        <v>13502.9</v>
      </c>
    </row>
    <row r="62" spans="2:7" x14ac:dyDescent="0.25">
      <c r="C62">
        <v>329.5</v>
      </c>
      <c r="F62" s="1">
        <v>42705</v>
      </c>
      <c r="G62">
        <v>13832.4</v>
      </c>
    </row>
    <row r="63" spans="2:7" x14ac:dyDescent="0.25">
      <c r="B63">
        <v>2017</v>
      </c>
      <c r="C63">
        <v>-434.7</v>
      </c>
      <c r="F63" s="1">
        <v>42736</v>
      </c>
      <c r="G63">
        <v>13397.7</v>
      </c>
    </row>
    <row r="64" spans="2:7" x14ac:dyDescent="0.25">
      <c r="C64">
        <v>-781.7</v>
      </c>
      <c r="F64" s="1">
        <v>42767</v>
      </c>
      <c r="G64">
        <v>12616</v>
      </c>
    </row>
    <row r="65" spans="2:7" x14ac:dyDescent="0.25">
      <c r="C65">
        <v>2102.5</v>
      </c>
      <c r="F65" s="1">
        <v>42795</v>
      </c>
      <c r="G65">
        <v>14718.5</v>
      </c>
    </row>
    <row r="66" spans="2:7" x14ac:dyDescent="0.25">
      <c r="C66">
        <v>-1448.8</v>
      </c>
      <c r="F66" s="1">
        <v>42826</v>
      </c>
      <c r="G66">
        <v>13269.7</v>
      </c>
    </row>
    <row r="67" spans="2:7" x14ac:dyDescent="0.25">
      <c r="C67">
        <v>1064.2</v>
      </c>
      <c r="F67" s="1">
        <v>42856</v>
      </c>
      <c r="G67">
        <v>14333.9</v>
      </c>
    </row>
    <row r="68" spans="2:7" x14ac:dyDescent="0.25">
      <c r="C68">
        <v>-2672.5</v>
      </c>
      <c r="F68" s="1">
        <v>42887</v>
      </c>
      <c r="G68">
        <v>11661.4</v>
      </c>
    </row>
    <row r="69" spans="2:7" x14ac:dyDescent="0.25">
      <c r="C69">
        <v>1949.7</v>
      </c>
      <c r="F69" s="1">
        <v>42917</v>
      </c>
      <c r="G69">
        <v>13611.1</v>
      </c>
    </row>
    <row r="70" spans="2:7" x14ac:dyDescent="0.25">
      <c r="C70">
        <v>1576.9</v>
      </c>
      <c r="F70" s="1">
        <v>42948</v>
      </c>
      <c r="G70">
        <v>15188</v>
      </c>
    </row>
    <row r="71" spans="2:7" x14ac:dyDescent="0.25">
      <c r="C71">
        <v>-607.79999999999995</v>
      </c>
      <c r="F71" s="1">
        <v>42979</v>
      </c>
      <c r="G71">
        <v>14580.2</v>
      </c>
    </row>
    <row r="72" spans="2:7" x14ac:dyDescent="0.25">
      <c r="C72">
        <v>672.4</v>
      </c>
      <c r="F72" s="1">
        <v>43009</v>
      </c>
      <c r="G72">
        <v>15252.6</v>
      </c>
    </row>
    <row r="73" spans="2:7" x14ac:dyDescent="0.25">
      <c r="C73">
        <v>82.1</v>
      </c>
      <c r="F73" s="1">
        <v>43040</v>
      </c>
      <c r="G73">
        <v>15334.7</v>
      </c>
    </row>
    <row r="74" spans="2:7" x14ac:dyDescent="0.25">
      <c r="C74">
        <v>-470.2</v>
      </c>
      <c r="F74" s="1">
        <v>43070</v>
      </c>
      <c r="G74">
        <v>14864.5</v>
      </c>
    </row>
    <row r="75" spans="2:7" x14ac:dyDescent="0.25">
      <c r="B75">
        <v>2018</v>
      </c>
      <c r="C75">
        <v>-288.2</v>
      </c>
      <c r="F75" s="1">
        <v>43101</v>
      </c>
      <c r="G75">
        <v>14576.3</v>
      </c>
    </row>
    <row r="76" spans="2:7" x14ac:dyDescent="0.25">
      <c r="C76">
        <v>-443.9</v>
      </c>
      <c r="F76" s="1">
        <v>43132</v>
      </c>
      <c r="G76">
        <v>14132.4</v>
      </c>
    </row>
    <row r="77" spans="2:7" x14ac:dyDescent="0.25">
      <c r="C77">
        <v>1378.2</v>
      </c>
      <c r="F77" s="1">
        <v>43160</v>
      </c>
      <c r="G77">
        <v>15510.6</v>
      </c>
    </row>
    <row r="78" spans="2:7" x14ac:dyDescent="0.25">
      <c r="C78">
        <v>-1014.4</v>
      </c>
      <c r="F78" s="1">
        <v>43191</v>
      </c>
      <c r="G78">
        <v>14496.2</v>
      </c>
    </row>
    <row r="79" spans="2:7" x14ac:dyDescent="0.25">
      <c r="C79">
        <v>1702.1</v>
      </c>
      <c r="F79" s="1">
        <v>43221</v>
      </c>
      <c r="G79">
        <v>16198.3</v>
      </c>
    </row>
    <row r="80" spans="2:7" x14ac:dyDescent="0.25">
      <c r="C80">
        <v>-3256.6</v>
      </c>
      <c r="F80" s="1">
        <v>43252</v>
      </c>
      <c r="G80">
        <v>12941.7</v>
      </c>
    </row>
    <row r="81" spans="2:7" x14ac:dyDescent="0.25">
      <c r="C81">
        <v>3343</v>
      </c>
      <c r="F81" s="1">
        <v>43282</v>
      </c>
      <c r="G81">
        <v>16284.7</v>
      </c>
    </row>
    <row r="82" spans="2:7" x14ac:dyDescent="0.25">
      <c r="C82">
        <v>-419.6</v>
      </c>
      <c r="F82" s="1">
        <v>43313</v>
      </c>
      <c r="G82">
        <v>15865.1</v>
      </c>
    </row>
    <row r="83" spans="2:7" x14ac:dyDescent="0.25">
      <c r="C83">
        <v>-908.8</v>
      </c>
      <c r="F83" s="1">
        <v>43344</v>
      </c>
      <c r="G83">
        <v>14956.3</v>
      </c>
    </row>
    <row r="84" spans="2:7" x14ac:dyDescent="0.25">
      <c r="C84">
        <v>952.8</v>
      </c>
      <c r="F84" s="1">
        <v>43374</v>
      </c>
      <c r="G84">
        <v>15909.1</v>
      </c>
    </row>
    <row r="85" spans="2:7" x14ac:dyDescent="0.25">
      <c r="C85">
        <v>-1057.4000000000001</v>
      </c>
      <c r="F85" s="1">
        <v>43405</v>
      </c>
      <c r="G85">
        <v>14851.7</v>
      </c>
    </row>
    <row r="86" spans="2:7" x14ac:dyDescent="0.25">
      <c r="C86">
        <v>-561.6</v>
      </c>
      <c r="F86" s="1">
        <v>43435</v>
      </c>
      <c r="G86">
        <v>14290.1</v>
      </c>
    </row>
    <row r="87" spans="2:7" x14ac:dyDescent="0.25">
      <c r="B87">
        <v>2019</v>
      </c>
      <c r="C87">
        <v>-262</v>
      </c>
      <c r="F87" s="1">
        <v>43466</v>
      </c>
      <c r="G87">
        <v>14028.1</v>
      </c>
    </row>
    <row r="88" spans="2:7" x14ac:dyDescent="0.25">
      <c r="C88">
        <v>-1239.5</v>
      </c>
      <c r="F88" s="1">
        <v>43497</v>
      </c>
      <c r="G88">
        <v>12788.6</v>
      </c>
    </row>
    <row r="89" spans="2:7" x14ac:dyDescent="0.25">
      <c r="C89">
        <v>1659.2</v>
      </c>
      <c r="F89" s="1">
        <v>43525</v>
      </c>
      <c r="G89">
        <v>14447.8</v>
      </c>
    </row>
    <row r="90" spans="2:7" x14ac:dyDescent="0.25">
      <c r="C90">
        <v>-1379.7</v>
      </c>
      <c r="F90" s="1">
        <v>43556</v>
      </c>
      <c r="G90">
        <v>13068.1</v>
      </c>
    </row>
    <row r="91" spans="2:7" x14ac:dyDescent="0.25">
      <c r="C91">
        <v>1683.8</v>
      </c>
      <c r="F91" s="1">
        <v>43586</v>
      </c>
      <c r="G91">
        <v>14751.9</v>
      </c>
    </row>
    <row r="92" spans="2:7" x14ac:dyDescent="0.25">
      <c r="C92">
        <v>-2988.5</v>
      </c>
      <c r="F92" s="1">
        <v>43617</v>
      </c>
      <c r="G92">
        <v>11763.4</v>
      </c>
    </row>
    <row r="93" spans="2:7" x14ac:dyDescent="0.25">
      <c r="C93">
        <v>3475</v>
      </c>
      <c r="F93" s="1">
        <v>43647</v>
      </c>
      <c r="G93">
        <v>15238.4</v>
      </c>
    </row>
    <row r="94" spans="2:7" x14ac:dyDescent="0.25">
      <c r="C94">
        <v>-976.4</v>
      </c>
      <c r="F94" s="1">
        <v>43678</v>
      </c>
      <c r="G94">
        <v>14262</v>
      </c>
    </row>
    <row r="95" spans="2:7" x14ac:dyDescent="0.25">
      <c r="C95">
        <v>-181.9</v>
      </c>
      <c r="F95" s="1">
        <v>43709</v>
      </c>
      <c r="G95">
        <v>14080.1</v>
      </c>
    </row>
    <row r="96" spans="2:7" x14ac:dyDescent="0.25">
      <c r="C96">
        <v>801.4</v>
      </c>
      <c r="F96" s="1">
        <v>43739</v>
      </c>
      <c r="G96">
        <v>14881.5</v>
      </c>
    </row>
    <row r="97" spans="2:7" x14ac:dyDescent="0.25">
      <c r="C97">
        <v>-937</v>
      </c>
      <c r="F97" s="1">
        <v>43770</v>
      </c>
      <c r="G97">
        <v>13944.5</v>
      </c>
    </row>
    <row r="98" spans="2:7" x14ac:dyDescent="0.25">
      <c r="C98">
        <v>484.3</v>
      </c>
      <c r="F98" s="1">
        <v>43800</v>
      </c>
      <c r="G98">
        <v>14428.8</v>
      </c>
    </row>
    <row r="99" spans="2:7" x14ac:dyDescent="0.25">
      <c r="B99">
        <v>2020</v>
      </c>
      <c r="C99">
        <v>-400.7</v>
      </c>
      <c r="F99" s="1">
        <v>43831</v>
      </c>
      <c r="G99">
        <v>14028.1</v>
      </c>
    </row>
    <row r="100" spans="2:7" x14ac:dyDescent="0.25">
      <c r="C100">
        <v>-1239.5</v>
      </c>
      <c r="F100" s="1">
        <v>43862</v>
      </c>
      <c r="G100">
        <v>12788.6</v>
      </c>
    </row>
    <row r="101" spans="2:7" x14ac:dyDescent="0.25">
      <c r="C101">
        <v>1659.2</v>
      </c>
      <c r="F101" s="1">
        <v>43891</v>
      </c>
      <c r="G101">
        <v>14447.8</v>
      </c>
    </row>
    <row r="102" spans="2:7" x14ac:dyDescent="0.25">
      <c r="C102">
        <v>-1379.7</v>
      </c>
      <c r="F102" s="1">
        <v>43922</v>
      </c>
      <c r="G102">
        <v>13068.1</v>
      </c>
    </row>
    <row r="103" spans="2:7" x14ac:dyDescent="0.25">
      <c r="C103">
        <v>1683.8</v>
      </c>
      <c r="F103" s="1">
        <v>43952</v>
      </c>
      <c r="G103">
        <v>14751.9</v>
      </c>
    </row>
    <row r="104" spans="2:7" x14ac:dyDescent="0.25">
      <c r="C104">
        <v>-2988.5</v>
      </c>
      <c r="F104" s="1">
        <v>43983</v>
      </c>
      <c r="G104">
        <v>11763.4</v>
      </c>
    </row>
    <row r="105" spans="2:7" x14ac:dyDescent="0.25">
      <c r="C105">
        <v>3475</v>
      </c>
      <c r="F105" s="1">
        <v>44013</v>
      </c>
      <c r="G105">
        <v>15238.4</v>
      </c>
    </row>
    <row r="106" spans="2:7" x14ac:dyDescent="0.25">
      <c r="C106">
        <v>-976.4</v>
      </c>
      <c r="F106" s="1">
        <v>44044</v>
      </c>
      <c r="G106">
        <v>14262</v>
      </c>
    </row>
    <row r="107" spans="2:7" x14ac:dyDescent="0.25">
      <c r="C107">
        <v>-181.9</v>
      </c>
      <c r="F107" s="1">
        <v>44075</v>
      </c>
      <c r="G107">
        <v>14080.1</v>
      </c>
    </row>
    <row r="108" spans="2:7" x14ac:dyDescent="0.25">
      <c r="C108">
        <v>801.4</v>
      </c>
      <c r="F108" s="1">
        <v>44105</v>
      </c>
      <c r="G108">
        <v>14881.5</v>
      </c>
    </row>
    <row r="109" spans="2:7" x14ac:dyDescent="0.25">
      <c r="C109">
        <v>-937</v>
      </c>
      <c r="F109" s="1">
        <v>44136</v>
      </c>
      <c r="G109">
        <v>13944.5</v>
      </c>
    </row>
    <row r="110" spans="2:7" x14ac:dyDescent="0.25">
      <c r="C110">
        <v>484.3</v>
      </c>
      <c r="F110" s="1">
        <v>44166</v>
      </c>
      <c r="G110">
        <v>14428.8</v>
      </c>
    </row>
    <row r="111" spans="2:7" x14ac:dyDescent="0.25">
      <c r="B111">
        <v>2021</v>
      </c>
      <c r="C111">
        <v>-792.4</v>
      </c>
      <c r="F111" s="1">
        <v>44197</v>
      </c>
      <c r="G111">
        <v>13636.4</v>
      </c>
    </row>
    <row r="112" spans="2:7" x14ac:dyDescent="0.25">
      <c r="C112">
        <v>405.7</v>
      </c>
      <c r="F112" s="1">
        <v>44228</v>
      </c>
      <c r="G112">
        <v>14042.1</v>
      </c>
    </row>
    <row r="113" spans="2:7" x14ac:dyDescent="0.25">
      <c r="C113">
        <v>-10.8</v>
      </c>
      <c r="F113" s="1">
        <v>44256</v>
      </c>
      <c r="G113">
        <v>14031.3</v>
      </c>
    </row>
    <row r="114" spans="2:7" x14ac:dyDescent="0.25">
      <c r="C114">
        <v>-1871.5</v>
      </c>
      <c r="F114" s="1">
        <v>44287</v>
      </c>
      <c r="G114">
        <v>12159.8</v>
      </c>
    </row>
    <row r="115" spans="2:7" x14ac:dyDescent="0.25">
      <c r="C115">
        <v>-1707.2</v>
      </c>
      <c r="F115" s="1">
        <v>44317</v>
      </c>
      <c r="G115">
        <v>10452.6</v>
      </c>
    </row>
    <row r="116" spans="2:7" x14ac:dyDescent="0.25">
      <c r="C116">
        <v>1554.2</v>
      </c>
      <c r="F116" s="1">
        <v>44348</v>
      </c>
      <c r="G116">
        <v>12006.8</v>
      </c>
    </row>
    <row r="117" spans="2:7" x14ac:dyDescent="0.25">
      <c r="C117">
        <v>1683.1</v>
      </c>
      <c r="F117" s="1">
        <v>44378</v>
      </c>
      <c r="G117">
        <v>13689.9</v>
      </c>
    </row>
    <row r="118" spans="2:7" x14ac:dyDescent="0.25">
      <c r="C118">
        <v>-634.6</v>
      </c>
      <c r="F118" s="1">
        <v>44409</v>
      </c>
      <c r="G118">
        <v>13055.3</v>
      </c>
    </row>
    <row r="119" spans="2:7" x14ac:dyDescent="0.25">
      <c r="C119">
        <v>900.9</v>
      </c>
      <c r="F119" s="1">
        <v>44440</v>
      </c>
      <c r="G119">
        <v>13956.2</v>
      </c>
    </row>
    <row r="120" spans="2:7" x14ac:dyDescent="0.25">
      <c r="C120">
        <v>407.2</v>
      </c>
      <c r="F120" s="1">
        <v>44470</v>
      </c>
      <c r="G120">
        <v>14363.4</v>
      </c>
    </row>
    <row r="121" spans="2:7" x14ac:dyDescent="0.25">
      <c r="C121">
        <v>895</v>
      </c>
      <c r="F121" s="1">
        <v>44501</v>
      </c>
      <c r="G121">
        <v>15258.4</v>
      </c>
    </row>
    <row r="122" spans="2:7" x14ac:dyDescent="0.25">
      <c r="C122">
        <v>1281.2</v>
      </c>
      <c r="F122" s="1">
        <v>44531</v>
      </c>
      <c r="G122">
        <v>16539.599999999999</v>
      </c>
    </row>
    <row r="123" spans="2:7" x14ac:dyDescent="0.25">
      <c r="B123">
        <v>2022</v>
      </c>
      <c r="C123">
        <v>-1239.4000000000001</v>
      </c>
      <c r="F123" s="1">
        <v>44562</v>
      </c>
      <c r="G123">
        <v>15300.2</v>
      </c>
    </row>
    <row r="124" spans="2:7" x14ac:dyDescent="0.25">
      <c r="C124">
        <v>-44.8</v>
      </c>
      <c r="F124" s="1">
        <v>44593</v>
      </c>
      <c r="G124">
        <v>15255.4</v>
      </c>
    </row>
    <row r="125" spans="2:7" x14ac:dyDescent="0.25">
      <c r="C125">
        <v>3143</v>
      </c>
      <c r="F125" s="1">
        <v>44621</v>
      </c>
      <c r="G125">
        <v>18398.400000000001</v>
      </c>
    </row>
    <row r="126" spans="2:7" x14ac:dyDescent="0.25">
      <c r="C126">
        <v>75.7</v>
      </c>
      <c r="F126" s="1">
        <v>44652</v>
      </c>
      <c r="G126">
        <v>18474.099999999999</v>
      </c>
    </row>
    <row r="127" spans="2:7" x14ac:dyDescent="0.25">
      <c r="C127">
        <v>-1566.1</v>
      </c>
      <c r="F127" s="1">
        <v>44682</v>
      </c>
      <c r="G127">
        <v>16908</v>
      </c>
    </row>
    <row r="128" spans="2:7" x14ac:dyDescent="0.25">
      <c r="C128">
        <v>1639.8</v>
      </c>
      <c r="F128" s="1">
        <v>44713</v>
      </c>
      <c r="G128">
        <v>18547.8</v>
      </c>
    </row>
    <row r="129" spans="3:7" x14ac:dyDescent="0.25">
      <c r="C129">
        <v>821.8</v>
      </c>
      <c r="F129" s="1">
        <v>44743</v>
      </c>
      <c r="G129">
        <v>19369.599999999999</v>
      </c>
    </row>
    <row r="130" spans="3:7" x14ac:dyDescent="0.25">
      <c r="C130">
        <v>2073.6</v>
      </c>
      <c r="F130" s="1">
        <v>44774</v>
      </c>
      <c r="G130">
        <v>21443.200000000001</v>
      </c>
    </row>
    <row r="131" spans="3:7" x14ac:dyDescent="0.25">
      <c r="C131">
        <v>-824.4</v>
      </c>
      <c r="F131" s="1">
        <v>44805</v>
      </c>
      <c r="G131">
        <v>20618.8</v>
      </c>
    </row>
    <row r="132" spans="3:7" x14ac:dyDescent="0.25">
      <c r="C132">
        <v>1472.2</v>
      </c>
      <c r="F132" s="1">
        <v>44835</v>
      </c>
      <c r="G132">
        <v>22091</v>
      </c>
    </row>
    <row r="133" spans="3:7" x14ac:dyDescent="0.25">
      <c r="C133">
        <v>754.4</v>
      </c>
      <c r="F133" s="1">
        <v>44866</v>
      </c>
      <c r="G133">
        <v>22845.4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K17"/>
  <sheetViews>
    <sheetView topLeftCell="A10" workbookViewId="0">
      <selection activeCell="D30" sqref="D30"/>
    </sheetView>
  </sheetViews>
  <sheetFormatPr defaultRowHeight="15" x14ac:dyDescent="0.25"/>
  <sheetData>
    <row r="2" spans="3:11" x14ac:dyDescent="0.25">
      <c r="C2" t="s">
        <v>101</v>
      </c>
      <c r="F2" s="12" t="s">
        <v>102</v>
      </c>
      <c r="G2" s="12" t="s">
        <v>104</v>
      </c>
      <c r="H2" s="12" t="s">
        <v>105</v>
      </c>
      <c r="I2" s="12" t="s">
        <v>106</v>
      </c>
      <c r="J2" s="12" t="s">
        <v>107</v>
      </c>
      <c r="K2" s="11"/>
    </row>
    <row r="3" spans="3:11" x14ac:dyDescent="0.25">
      <c r="C3" s="1">
        <v>44896</v>
      </c>
      <c r="D3">
        <v>22357.7</v>
      </c>
      <c r="F3" s="13" t="s">
        <v>103</v>
      </c>
      <c r="G3" s="13" t="s">
        <v>103</v>
      </c>
      <c r="H3" s="13" t="s">
        <v>103</v>
      </c>
      <c r="I3" s="13" t="s">
        <v>103</v>
      </c>
      <c r="J3" s="13" t="s">
        <v>103</v>
      </c>
      <c r="K3" s="11"/>
    </row>
    <row r="4" spans="3:11" x14ac:dyDescent="0.25">
      <c r="C4" s="1">
        <v>44927</v>
      </c>
      <c r="D4">
        <v>22320.7</v>
      </c>
      <c r="F4" s="14">
        <v>44896</v>
      </c>
      <c r="G4" s="15">
        <v>22242.48</v>
      </c>
      <c r="H4" s="15">
        <v>20745.37</v>
      </c>
      <c r="I4" s="15">
        <v>23739.599999999999</v>
      </c>
      <c r="J4" s="15">
        <v>19952.84</v>
      </c>
      <c r="K4" s="15">
        <v>24532.13</v>
      </c>
    </row>
    <row r="5" spans="3:11" x14ac:dyDescent="0.25">
      <c r="C5" s="1">
        <v>44958</v>
      </c>
      <c r="D5">
        <v>21319.7</v>
      </c>
      <c r="F5" s="14">
        <v>44927</v>
      </c>
      <c r="G5" s="15">
        <v>22559.64</v>
      </c>
      <c r="H5" s="15">
        <v>20965.84</v>
      </c>
      <c r="I5" s="15">
        <v>24153.43</v>
      </c>
      <c r="J5" s="15">
        <v>20122.14</v>
      </c>
      <c r="K5" s="15">
        <v>24997.13</v>
      </c>
    </row>
    <row r="6" spans="3:11" x14ac:dyDescent="0.25">
      <c r="C6" s="1">
        <v>44986</v>
      </c>
      <c r="D6">
        <v>23413.9</v>
      </c>
      <c r="F6" s="14">
        <v>44958</v>
      </c>
      <c r="G6" s="15">
        <v>22559.64</v>
      </c>
      <c r="H6" s="15">
        <v>20735.62</v>
      </c>
      <c r="I6" s="15">
        <v>24383.65</v>
      </c>
      <c r="J6" s="15">
        <v>19770.04</v>
      </c>
      <c r="K6" s="15">
        <v>25349.23</v>
      </c>
    </row>
    <row r="7" spans="3:11" x14ac:dyDescent="0.25">
      <c r="C7" s="1">
        <v>45017</v>
      </c>
      <c r="D7">
        <v>19280.400000000001</v>
      </c>
      <c r="F7" s="14">
        <v>44986</v>
      </c>
      <c r="G7" s="15">
        <v>22559.64</v>
      </c>
      <c r="H7" s="15">
        <v>20531.36</v>
      </c>
      <c r="I7" s="15">
        <v>24587.91</v>
      </c>
      <c r="J7" s="15">
        <v>19457.66</v>
      </c>
      <c r="K7" s="15">
        <v>25661.61</v>
      </c>
    </row>
    <row r="8" spans="3:11" x14ac:dyDescent="0.25">
      <c r="C8" s="1">
        <v>45047</v>
      </c>
      <c r="D8">
        <v>21706.5</v>
      </c>
      <c r="F8" s="14">
        <v>45017</v>
      </c>
      <c r="G8" s="15">
        <v>22559.64</v>
      </c>
      <c r="H8" s="15">
        <v>20345.88</v>
      </c>
      <c r="I8" s="15">
        <v>24773.4</v>
      </c>
      <c r="J8" s="15">
        <v>19173.98</v>
      </c>
      <c r="K8" s="15">
        <v>25945.29</v>
      </c>
    </row>
    <row r="9" spans="3:11" x14ac:dyDescent="0.25">
      <c r="C9" s="1">
        <v>45078</v>
      </c>
      <c r="D9">
        <v>20599</v>
      </c>
      <c r="F9" s="14">
        <v>45047</v>
      </c>
      <c r="G9" s="15">
        <v>22559.64</v>
      </c>
      <c r="H9" s="15">
        <v>20174.77</v>
      </c>
      <c r="I9" s="15">
        <v>24944.5</v>
      </c>
      <c r="J9" s="15">
        <v>18912.3</v>
      </c>
      <c r="K9" s="15">
        <v>26206.97</v>
      </c>
    </row>
    <row r="10" spans="3:11" x14ac:dyDescent="0.25">
      <c r="C10" s="1">
        <v>45108</v>
      </c>
      <c r="D10">
        <v>20861.3</v>
      </c>
      <c r="F10" s="14">
        <v>45078</v>
      </c>
      <c r="G10" s="15">
        <v>22559.64</v>
      </c>
      <c r="H10" s="15">
        <v>20015.14</v>
      </c>
      <c r="I10" s="15">
        <v>25104.13</v>
      </c>
      <c r="J10" s="15">
        <v>18668.169999999998</v>
      </c>
      <c r="K10" s="15">
        <v>26451.1</v>
      </c>
    </row>
    <row r="11" spans="3:11" x14ac:dyDescent="0.25">
      <c r="C11" s="1">
        <v>45139</v>
      </c>
      <c r="D11">
        <v>21996.3</v>
      </c>
      <c r="F11" s="14">
        <v>45108</v>
      </c>
      <c r="G11" s="15">
        <v>22559.64</v>
      </c>
      <c r="H11" s="15">
        <v>19864.96</v>
      </c>
      <c r="I11" s="15">
        <v>25254.31</v>
      </c>
      <c r="J11" s="15">
        <v>18438.48</v>
      </c>
      <c r="K11" s="15">
        <v>26680.79</v>
      </c>
    </row>
    <row r="12" spans="3:11" x14ac:dyDescent="0.25">
      <c r="C12" s="1">
        <v>45170</v>
      </c>
      <c r="D12">
        <v>20744.900000000001</v>
      </c>
      <c r="F12" s="14">
        <v>45139</v>
      </c>
      <c r="G12" s="15">
        <v>22559.64</v>
      </c>
      <c r="H12" s="15">
        <v>19722.71</v>
      </c>
      <c r="I12" s="15">
        <v>25396.560000000001</v>
      </c>
      <c r="J12" s="15">
        <v>18220.93</v>
      </c>
      <c r="K12" s="15">
        <v>26898.34</v>
      </c>
    </row>
    <row r="13" spans="3:11" x14ac:dyDescent="0.25">
      <c r="C13" s="1">
        <v>45200</v>
      </c>
      <c r="D13">
        <v>22144.5</v>
      </c>
      <c r="F13" s="14">
        <v>45170</v>
      </c>
      <c r="G13" s="15">
        <v>22559.64</v>
      </c>
      <c r="H13" s="15">
        <v>19587.259999999998</v>
      </c>
      <c r="I13" s="15">
        <v>25532.01</v>
      </c>
      <c r="J13" s="15">
        <v>18013.79</v>
      </c>
      <c r="K13" s="15">
        <v>27105.49</v>
      </c>
    </row>
    <row r="14" spans="3:11" x14ac:dyDescent="0.25">
      <c r="C14" s="1">
        <v>45231</v>
      </c>
      <c r="D14">
        <v>21995.9</v>
      </c>
      <c r="F14" s="14">
        <v>45200</v>
      </c>
      <c r="G14" s="15">
        <v>22559.64</v>
      </c>
      <c r="H14" s="15">
        <v>19457.73</v>
      </c>
      <c r="I14" s="15">
        <v>25661.54</v>
      </c>
      <c r="J14" s="15">
        <v>17815.669999999998</v>
      </c>
      <c r="K14" s="15">
        <v>27303.599999999999</v>
      </c>
    </row>
    <row r="15" spans="3:11" x14ac:dyDescent="0.25">
      <c r="C15" s="1">
        <v>45261</v>
      </c>
      <c r="D15">
        <v>22391.200000000001</v>
      </c>
      <c r="F15" s="14">
        <v>45231</v>
      </c>
      <c r="G15" s="15">
        <v>22559.64</v>
      </c>
      <c r="H15" s="15">
        <v>19333.38</v>
      </c>
      <c r="I15" s="15">
        <v>25785.89</v>
      </c>
      <c r="J15" s="15">
        <v>17625.509999999998</v>
      </c>
      <c r="K15" s="15">
        <v>27493.759999999998</v>
      </c>
    </row>
    <row r="16" spans="3:11" x14ac:dyDescent="0.25">
      <c r="F16" s="14">
        <v>45261</v>
      </c>
      <c r="G16" s="15">
        <v>22559.64</v>
      </c>
      <c r="H16" s="15">
        <v>19213.66</v>
      </c>
      <c r="I16" s="15">
        <v>25905.61</v>
      </c>
      <c r="J16" s="15">
        <v>17442.41</v>
      </c>
      <c r="K16" s="15">
        <v>27676.86</v>
      </c>
    </row>
    <row r="17" spans="6:11" x14ac:dyDescent="0.25">
      <c r="F17" s="14"/>
      <c r="G17" s="15"/>
      <c r="H17" s="15"/>
      <c r="I17" s="15"/>
      <c r="J17" s="15"/>
      <c r="K17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0"/>
  <sheetViews>
    <sheetView topLeftCell="C122" zoomScale="85" zoomScaleNormal="85" workbookViewId="0">
      <selection activeCell="H123" sqref="H123:H135"/>
    </sheetView>
  </sheetViews>
  <sheetFormatPr defaultRowHeight="15" x14ac:dyDescent="0.25"/>
  <sheetData>
    <row r="1" spans="1:13" x14ac:dyDescent="0.25">
      <c r="G1" t="s">
        <v>108</v>
      </c>
    </row>
    <row r="2" spans="1:13" x14ac:dyDescent="0.25">
      <c r="G2" t="s">
        <v>109</v>
      </c>
    </row>
    <row r="3" spans="1:13" x14ac:dyDescent="0.25">
      <c r="A3" t="s">
        <v>145</v>
      </c>
      <c r="C3" t="s">
        <v>0</v>
      </c>
      <c r="D3" t="s">
        <v>1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</row>
    <row r="4" spans="1:13" x14ac:dyDescent="0.25">
      <c r="A4">
        <f>D16-D4</f>
        <v>-903.20000000000073</v>
      </c>
      <c r="C4" s="1">
        <v>41275</v>
      </c>
      <c r="D4">
        <v>15375.5</v>
      </c>
      <c r="G4" s="16">
        <f>D4/AVERAGE(D$4:D$15)</f>
        <v>1.0107043531182094</v>
      </c>
    </row>
    <row r="5" spans="1:13" x14ac:dyDescent="0.25">
      <c r="A5">
        <f t="shared" ref="A5:A15" si="0">D17-D5</f>
        <v>-381.5</v>
      </c>
      <c r="C5" s="1">
        <v>41306</v>
      </c>
      <c r="D5">
        <v>15015.6</v>
      </c>
      <c r="G5" s="16">
        <f t="shared" ref="G5:G15" si="1">D5/AVERAGE(D$4:D$15)</f>
        <v>0.98704642351024574</v>
      </c>
      <c r="L5" t="s">
        <v>115</v>
      </c>
    </row>
    <row r="6" spans="1:13" x14ac:dyDescent="0.25">
      <c r="A6">
        <f t="shared" si="0"/>
        <v>168</v>
      </c>
      <c r="C6" s="1">
        <v>41334</v>
      </c>
      <c r="D6">
        <v>15024.6</v>
      </c>
      <c r="G6" s="16">
        <f t="shared" si="1"/>
        <v>0.98763803608727174</v>
      </c>
      <c r="L6" t="s">
        <v>116</v>
      </c>
      <c r="M6">
        <v>0.8</v>
      </c>
    </row>
    <row r="7" spans="1:13" x14ac:dyDescent="0.25">
      <c r="A7">
        <f t="shared" si="0"/>
        <v>-468.39999999999964</v>
      </c>
      <c r="C7" s="1">
        <v>41365</v>
      </c>
      <c r="D7">
        <v>14760.9</v>
      </c>
      <c r="G7" s="16">
        <f t="shared" si="1"/>
        <v>0.97030378758040881</v>
      </c>
      <c r="L7" t="s">
        <v>117</v>
      </c>
      <c r="M7">
        <v>0.2</v>
      </c>
    </row>
    <row r="8" spans="1:13" x14ac:dyDescent="0.25">
      <c r="A8">
        <f t="shared" si="0"/>
        <v>-1309.7999999999993</v>
      </c>
      <c r="C8" s="1">
        <v>41395</v>
      </c>
      <c r="D8">
        <v>16133.4</v>
      </c>
      <c r="G8" s="16">
        <f t="shared" si="1"/>
        <v>1.0605247055768798</v>
      </c>
      <c r="L8" t="s">
        <v>118</v>
      </c>
      <c r="M8">
        <v>0.4</v>
      </c>
    </row>
    <row r="9" spans="1:13" x14ac:dyDescent="0.25">
      <c r="A9">
        <f t="shared" si="0"/>
        <v>650.70000000000073</v>
      </c>
      <c r="C9" s="1">
        <v>41426</v>
      </c>
      <c r="D9">
        <v>14758.8</v>
      </c>
      <c r="G9" s="16">
        <f t="shared" si="1"/>
        <v>0.97016574464576932</v>
      </c>
    </row>
    <row r="10" spans="1:13" x14ac:dyDescent="0.25">
      <c r="A10">
        <f t="shared" si="0"/>
        <v>-963.79999999999927</v>
      </c>
      <c r="C10" s="1">
        <v>41456</v>
      </c>
      <c r="D10">
        <v>15087.9</v>
      </c>
      <c r="G10" s="16">
        <f t="shared" si="1"/>
        <v>0.99179904454568824</v>
      </c>
    </row>
    <row r="11" spans="1:13" x14ac:dyDescent="0.25">
      <c r="A11">
        <f t="shared" si="0"/>
        <v>1397.8999999999996</v>
      </c>
      <c r="C11" s="1">
        <v>41487</v>
      </c>
      <c r="D11">
        <v>13083.7</v>
      </c>
      <c r="G11" s="16">
        <f t="shared" si="1"/>
        <v>0.86005349711506718</v>
      </c>
    </row>
    <row r="12" spans="1:13" x14ac:dyDescent="0.25">
      <c r="A12">
        <f t="shared" si="0"/>
        <v>569</v>
      </c>
      <c r="C12" s="1">
        <v>41518</v>
      </c>
      <c r="D12">
        <v>14706.8</v>
      </c>
      <c r="G12" s="16">
        <f t="shared" si="1"/>
        <v>0.96674753864517438</v>
      </c>
    </row>
    <row r="13" spans="1:13" x14ac:dyDescent="0.25">
      <c r="A13">
        <f t="shared" si="0"/>
        <v>-405.5</v>
      </c>
      <c r="C13" s="1">
        <v>41548</v>
      </c>
      <c r="D13">
        <v>15698.3</v>
      </c>
      <c r="G13" s="16">
        <f t="shared" si="1"/>
        <v>1.03192352421421</v>
      </c>
    </row>
    <row r="14" spans="1:13" x14ac:dyDescent="0.25">
      <c r="A14">
        <f t="shared" si="0"/>
        <v>-2393.8999999999996</v>
      </c>
      <c r="C14" s="1">
        <v>41579</v>
      </c>
      <c r="D14">
        <v>15938.6</v>
      </c>
      <c r="G14" s="16">
        <f t="shared" si="1"/>
        <v>1.0477195800208052</v>
      </c>
    </row>
    <row r="15" spans="1:13" x14ac:dyDescent="0.25">
      <c r="A15">
        <f t="shared" si="0"/>
        <v>-2531.5</v>
      </c>
      <c r="C15" s="1">
        <v>41609</v>
      </c>
      <c r="D15">
        <v>16967.8</v>
      </c>
      <c r="E15">
        <f>AVERAGE(D4:D15)</f>
        <v>15212.658333333331</v>
      </c>
      <c r="F15">
        <f>SUM(A4:A15)/12^2</f>
        <v>-45.638888888888879</v>
      </c>
      <c r="G15" s="16">
        <f t="shared" si="1"/>
        <v>1.115373764940272</v>
      </c>
    </row>
    <row r="16" spans="1:13" x14ac:dyDescent="0.25">
      <c r="C16" s="1">
        <v>41640</v>
      </c>
      <c r="D16">
        <v>14472.3</v>
      </c>
      <c r="E16">
        <f>$M$6*(D16/G4)+(1-$M$6)*(E15+F15)</f>
        <v>14488.623176586847</v>
      </c>
      <c r="F16">
        <f>$M$7*(E16-E15)+(1-$M$7)*F15</f>
        <v>-181.3181424604079</v>
      </c>
      <c r="G16">
        <f>$M$8*(D16/E16)+(1-$M$8)*G4</f>
        <v>1.0059719637620501</v>
      </c>
      <c r="H16">
        <f>(E16+F16*1)*G5</f>
        <v>14121.974264004635</v>
      </c>
    </row>
    <row r="17" spans="3:9" x14ac:dyDescent="0.25">
      <c r="C17" s="1">
        <v>41671</v>
      </c>
      <c r="D17">
        <v>14634.1</v>
      </c>
      <c r="E17">
        <f t="shared" ref="E17:E80" si="2">$M$6*(D17/G5)+(1-$M$6)*(E16+F16)</f>
        <v>14722.382358797015</v>
      </c>
      <c r="F17">
        <f t="shared" ref="F17:F80" si="3">$M$7*(E17-E16)+(1-$M$7)*F16</f>
        <v>-98.302677526292797</v>
      </c>
      <c r="G17">
        <f t="shared" ref="G17:G80" si="4">$M$8*(D17/E17)+(1-$M$8)*G5</f>
        <v>0.98982926516461611</v>
      </c>
      <c r="H17">
        <f t="shared" ref="H17:H80" si="5">(E17+F17*1)*G6</f>
        <v>14443.29733599399</v>
      </c>
      <c r="I17">
        <f>D17-H17</f>
        <v>190.80266400601067</v>
      </c>
    </row>
    <row r="18" spans="3:9" x14ac:dyDescent="0.25">
      <c r="C18" s="1">
        <v>41699</v>
      </c>
      <c r="D18">
        <v>15192.6</v>
      </c>
      <c r="E18">
        <f t="shared" si="2"/>
        <v>15231.024846707667</v>
      </c>
      <c r="F18">
        <f t="shared" si="3"/>
        <v>23.086355561096269</v>
      </c>
      <c r="G18">
        <f t="shared" si="4"/>
        <v>0.99157370120001276</v>
      </c>
      <c r="H18">
        <f t="shared" si="5"/>
        <v>14801.121875734125</v>
      </c>
      <c r="I18">
        <f t="shared" ref="I18:I81" si="6">D18-H18</f>
        <v>391.47812426587552</v>
      </c>
    </row>
    <row r="19" spans="3:9" x14ac:dyDescent="0.25">
      <c r="C19" s="1">
        <v>41730</v>
      </c>
      <c r="D19">
        <v>14292.5</v>
      </c>
      <c r="E19">
        <f t="shared" si="2"/>
        <v>14834.760576417908</v>
      </c>
      <c r="F19">
        <f t="shared" si="3"/>
        <v>-60.783769609074838</v>
      </c>
      <c r="G19">
        <f t="shared" si="4"/>
        <v>0.9675609222777215</v>
      </c>
      <c r="H19">
        <f t="shared" si="5"/>
        <v>15668.167403240588</v>
      </c>
      <c r="I19">
        <f t="shared" si="6"/>
        <v>-1375.6674032405881</v>
      </c>
    </row>
    <row r="20" spans="3:9" x14ac:dyDescent="0.25">
      <c r="C20" s="1">
        <v>41760</v>
      </c>
      <c r="D20">
        <v>14823.6</v>
      </c>
      <c r="E20">
        <f t="shared" si="2"/>
        <v>14136.882810752471</v>
      </c>
      <c r="F20">
        <f t="shared" si="3"/>
        <v>-188.20256882034718</v>
      </c>
      <c r="G20">
        <f t="shared" si="4"/>
        <v>1.055745335671666</v>
      </c>
      <c r="H20">
        <f t="shared" si="5"/>
        <v>13532.53175373981</v>
      </c>
      <c r="I20">
        <f t="shared" si="6"/>
        <v>1291.0682462601908</v>
      </c>
    </row>
    <row r="21" spans="3:9" x14ac:dyDescent="0.25">
      <c r="C21" s="1">
        <v>41791</v>
      </c>
      <c r="D21">
        <v>15409.5</v>
      </c>
      <c r="E21">
        <f t="shared" si="2"/>
        <v>15496.430825062034</v>
      </c>
      <c r="F21">
        <f t="shared" si="3"/>
        <v>121.3475478056348</v>
      </c>
      <c r="G21">
        <f t="shared" si="4"/>
        <v>0.97985555395708301</v>
      </c>
      <c r="H21">
        <f t="shared" si="5"/>
        <v>15489.697668136469</v>
      </c>
      <c r="I21">
        <f t="shared" si="6"/>
        <v>-80.197668136468565</v>
      </c>
    </row>
    <row r="22" spans="3:9" x14ac:dyDescent="0.25">
      <c r="C22" s="1">
        <v>41821</v>
      </c>
      <c r="D22">
        <v>14124.1</v>
      </c>
      <c r="E22">
        <f t="shared" si="2"/>
        <v>14516.266790942722</v>
      </c>
      <c r="F22">
        <f t="shared" si="3"/>
        <v>-98.954768579354649</v>
      </c>
      <c r="G22">
        <f t="shared" si="4"/>
        <v>0.98427315548452254</v>
      </c>
      <c r="H22">
        <f t="shared" si="5"/>
        <v>12399.659623832715</v>
      </c>
      <c r="I22">
        <f t="shared" si="6"/>
        <v>1724.4403761672856</v>
      </c>
    </row>
    <row r="23" spans="3:9" x14ac:dyDescent="0.25">
      <c r="C23" s="1">
        <v>41852</v>
      </c>
      <c r="D23">
        <v>14481.6</v>
      </c>
      <c r="E23">
        <f t="shared" si="2"/>
        <v>16353.880278315697</v>
      </c>
      <c r="F23">
        <f t="shared" si="3"/>
        <v>288.35888261111137</v>
      </c>
      <c r="G23">
        <f t="shared" si="4"/>
        <v>0.87023794430795909</v>
      </c>
      <c r="H23">
        <f t="shared" si="5"/>
        <v>16088.843746370325</v>
      </c>
      <c r="I23">
        <f t="shared" si="6"/>
        <v>-1607.2437463703245</v>
      </c>
    </row>
    <row r="24" spans="3:9" x14ac:dyDescent="0.25">
      <c r="C24" s="1">
        <v>41883</v>
      </c>
      <c r="D24">
        <v>15275.8</v>
      </c>
      <c r="E24">
        <f t="shared" si="2"/>
        <v>15969.431658351939</v>
      </c>
      <c r="F24">
        <f t="shared" si="3"/>
        <v>153.79738209613754</v>
      </c>
      <c r="G24">
        <f t="shared" si="4"/>
        <v>0.96267453835930583</v>
      </c>
      <c r="H24">
        <f t="shared" si="5"/>
        <v>16637.939333132075</v>
      </c>
      <c r="I24">
        <f t="shared" si="6"/>
        <v>-1362.139333132076</v>
      </c>
    </row>
    <row r="25" spans="3:9" x14ac:dyDescent="0.25">
      <c r="C25" s="1">
        <v>41913</v>
      </c>
      <c r="D25">
        <v>15292.8</v>
      </c>
      <c r="E25">
        <f t="shared" si="2"/>
        <v>15080.408093687416</v>
      </c>
      <c r="F25">
        <f t="shared" si="3"/>
        <v>-54.766807255994621</v>
      </c>
      <c r="G25">
        <f t="shared" si="4"/>
        <v>1.0247876996408942</v>
      </c>
      <c r="H25">
        <f t="shared" si="5"/>
        <v>15742.6585781632</v>
      </c>
      <c r="I25">
        <f t="shared" si="6"/>
        <v>-449.85857816320095</v>
      </c>
    </row>
    <row r="26" spans="3:9" x14ac:dyDescent="0.25">
      <c r="C26" s="1">
        <v>41944</v>
      </c>
      <c r="D26">
        <v>13544.7</v>
      </c>
      <c r="E26">
        <f t="shared" si="2"/>
        <v>13347.361242742973</v>
      </c>
      <c r="F26">
        <f t="shared" si="3"/>
        <v>-390.42281599368448</v>
      </c>
      <c r="G26">
        <f t="shared" si="4"/>
        <v>1.0345456887133635</v>
      </c>
      <c r="H26">
        <f t="shared" si="5"/>
        <v>14451.829195142638</v>
      </c>
      <c r="I26">
        <f t="shared" si="6"/>
        <v>-907.1291951426374</v>
      </c>
    </row>
    <row r="27" spans="3:9" x14ac:dyDescent="0.25">
      <c r="C27" s="1">
        <v>41974</v>
      </c>
      <c r="D27">
        <v>14436.3</v>
      </c>
      <c r="E27">
        <f t="shared" si="2"/>
        <v>12945.800137052493</v>
      </c>
      <c r="F27">
        <f t="shared" si="3"/>
        <v>-392.6504739330436</v>
      </c>
      <c r="G27">
        <f t="shared" si="4"/>
        <v>1.1152778005658601</v>
      </c>
      <c r="H27">
        <f t="shared" si="5"/>
        <v>12628.11661800719</v>
      </c>
      <c r="I27">
        <f t="shared" si="6"/>
        <v>1808.1833819928088</v>
      </c>
    </row>
    <row r="28" spans="3:9" x14ac:dyDescent="0.25">
      <c r="C28" s="1">
        <v>42005</v>
      </c>
      <c r="D28">
        <v>13244.9</v>
      </c>
      <c r="E28">
        <f t="shared" si="2"/>
        <v>13043.647135582769</v>
      </c>
      <c r="F28">
        <f t="shared" si="3"/>
        <v>-294.55097944037965</v>
      </c>
      <c r="G28">
        <f t="shared" si="4"/>
        <v>1.0097548528609754</v>
      </c>
      <c r="H28">
        <f t="shared" si="5"/>
        <v>12619.428479747454</v>
      </c>
      <c r="I28">
        <f t="shared" si="6"/>
        <v>625.47152025254582</v>
      </c>
    </row>
    <row r="29" spans="3:9" x14ac:dyDescent="0.25">
      <c r="C29" s="1">
        <v>42036</v>
      </c>
      <c r="D29">
        <v>12172.8</v>
      </c>
      <c r="E29">
        <f t="shared" si="2"/>
        <v>12388.121999919053</v>
      </c>
      <c r="F29">
        <f t="shared" si="3"/>
        <v>-366.74581068504699</v>
      </c>
      <c r="G29">
        <f t="shared" si="4"/>
        <v>0.98694502828189656</v>
      </c>
      <c r="H29">
        <f t="shared" si="5"/>
        <v>11920.080481476469</v>
      </c>
      <c r="I29">
        <f t="shared" si="6"/>
        <v>252.7195185235305</v>
      </c>
    </row>
    <row r="30" spans="3:9" x14ac:dyDescent="0.25">
      <c r="C30" s="1">
        <v>42064</v>
      </c>
      <c r="D30">
        <v>13634</v>
      </c>
      <c r="E30">
        <f t="shared" si="2"/>
        <v>13404.163583816438</v>
      </c>
      <c r="F30">
        <f t="shared" si="3"/>
        <v>-90.188331768560431</v>
      </c>
      <c r="G30">
        <f t="shared" si="4"/>
        <v>1.0018028781736081</v>
      </c>
      <c r="H30">
        <f t="shared" si="5"/>
        <v>12882.082174054205</v>
      </c>
      <c r="I30">
        <f t="shared" si="6"/>
        <v>751.9178259457949</v>
      </c>
    </row>
    <row r="31" spans="3:9" x14ac:dyDescent="0.25">
      <c r="C31" s="1">
        <v>42095</v>
      </c>
      <c r="D31">
        <v>13104.6</v>
      </c>
      <c r="E31">
        <f t="shared" si="2"/>
        <v>13497.957734864129</v>
      </c>
      <c r="F31">
        <f t="shared" si="3"/>
        <v>-53.391835205310286</v>
      </c>
      <c r="G31">
        <f t="shared" si="4"/>
        <v>0.96887974594166626</v>
      </c>
      <c r="H31">
        <f t="shared" si="5"/>
        <v>14194.037738695133</v>
      </c>
      <c r="I31">
        <f t="shared" si="6"/>
        <v>-1089.4377386951328</v>
      </c>
    </row>
    <row r="32" spans="3:9" x14ac:dyDescent="0.25">
      <c r="C32" s="1">
        <v>42125</v>
      </c>
      <c r="D32">
        <v>12754.7</v>
      </c>
      <c r="E32">
        <f t="shared" si="2"/>
        <v>12353.895496437441</v>
      </c>
      <c r="F32">
        <f t="shared" si="3"/>
        <v>-271.52591584958583</v>
      </c>
      <c r="G32">
        <f t="shared" si="4"/>
        <v>1.0464246303824867</v>
      </c>
      <c r="H32">
        <f t="shared" si="5"/>
        <v>11838.97693850112</v>
      </c>
      <c r="I32">
        <f t="shared" si="6"/>
        <v>915.72306149888027</v>
      </c>
    </row>
    <row r="33" spans="3:9" x14ac:dyDescent="0.25">
      <c r="C33" s="1">
        <v>42156</v>
      </c>
      <c r="D33">
        <v>13514.1</v>
      </c>
      <c r="E33">
        <f t="shared" si="2"/>
        <v>13450.018560876026</v>
      </c>
      <c r="F33">
        <f t="shared" si="3"/>
        <v>2.0038802080483435</v>
      </c>
      <c r="G33">
        <f t="shared" si="4"/>
        <v>0.98981909745060082</v>
      </c>
      <c r="H33">
        <f t="shared" si="5"/>
        <v>13240.464575734431</v>
      </c>
      <c r="I33">
        <f t="shared" si="6"/>
        <v>273.63542426556887</v>
      </c>
    </row>
    <row r="34" spans="3:9" x14ac:dyDescent="0.25">
      <c r="C34" s="1">
        <v>42186</v>
      </c>
      <c r="D34">
        <v>11465.8</v>
      </c>
      <c r="E34">
        <f t="shared" si="2"/>
        <v>12009.606123340793</v>
      </c>
      <c r="F34">
        <f t="shared" si="3"/>
        <v>-286.47938334060791</v>
      </c>
      <c r="G34">
        <f t="shared" si="4"/>
        <v>0.97245152165234972</v>
      </c>
      <c r="H34">
        <f t="shared" si="5"/>
        <v>10201.909715079428</v>
      </c>
      <c r="I34">
        <f t="shared" si="6"/>
        <v>1263.8902849205715</v>
      </c>
    </row>
    <row r="35" spans="3:9" x14ac:dyDescent="0.25">
      <c r="C35" s="1">
        <v>42217</v>
      </c>
      <c r="D35">
        <v>12726</v>
      </c>
      <c r="E35">
        <f t="shared" si="2"/>
        <v>14043.494682060269</v>
      </c>
      <c r="F35">
        <f t="shared" si="3"/>
        <v>177.59420507140894</v>
      </c>
      <c r="G35">
        <f t="shared" si="4"/>
        <v>0.88461664614572855</v>
      </c>
      <c r="H35">
        <f t="shared" si="5"/>
        <v>13690.280179386144</v>
      </c>
      <c r="I35">
        <f t="shared" si="6"/>
        <v>-964.28017938614357</v>
      </c>
    </row>
    <row r="36" spans="3:9" x14ac:dyDescent="0.25">
      <c r="C36" s="1">
        <v>42248</v>
      </c>
      <c r="D36">
        <v>12588.4</v>
      </c>
      <c r="E36">
        <f t="shared" si="2"/>
        <v>13305.406474868787</v>
      </c>
      <c r="F36">
        <f t="shared" si="3"/>
        <v>-5.5422773811692707</v>
      </c>
      <c r="G36">
        <f t="shared" si="4"/>
        <v>0.9560493807951691</v>
      </c>
      <c r="H36">
        <f t="shared" si="5"/>
        <v>13629.537236479622</v>
      </c>
      <c r="I36">
        <f t="shared" si="6"/>
        <v>-1041.1372364796225</v>
      </c>
    </row>
    <row r="37" spans="3:9" x14ac:dyDescent="0.25">
      <c r="C37" s="1">
        <v>42278</v>
      </c>
      <c r="D37">
        <v>12121.7</v>
      </c>
      <c r="E37">
        <f t="shared" si="2"/>
        <v>12122.771820591994</v>
      </c>
      <c r="F37">
        <f t="shared" si="3"/>
        <v>-240.9607527602941</v>
      </c>
      <c r="G37">
        <f t="shared" si="4"/>
        <v>1.0148372542556672</v>
      </c>
      <c r="H37">
        <f t="shared" si="5"/>
        <v>12292.276414332009</v>
      </c>
      <c r="I37">
        <f t="shared" si="6"/>
        <v>-170.57641433200843</v>
      </c>
    </row>
    <row r="38" spans="3:9" x14ac:dyDescent="0.25">
      <c r="C38" s="1">
        <v>42309</v>
      </c>
      <c r="D38">
        <v>11122.2</v>
      </c>
      <c r="E38">
        <f t="shared" si="2"/>
        <v>10977.00701550438</v>
      </c>
      <c r="F38">
        <f t="shared" si="3"/>
        <v>-421.92156322575812</v>
      </c>
      <c r="G38">
        <f t="shared" si="4"/>
        <v>1.0260182173348404</v>
      </c>
      <c r="H38">
        <f t="shared" si="5"/>
        <v>11771.852488002007</v>
      </c>
      <c r="I38">
        <f t="shared" si="6"/>
        <v>-649.65248800200607</v>
      </c>
    </row>
    <row r="39" spans="3:9" x14ac:dyDescent="0.25">
      <c r="C39" s="1">
        <v>42339</v>
      </c>
      <c r="D39">
        <v>11917.1</v>
      </c>
      <c r="E39">
        <f t="shared" si="2"/>
        <v>10659.272955642749</v>
      </c>
      <c r="F39">
        <f t="shared" si="3"/>
        <v>-401.08406255293255</v>
      </c>
      <c r="G39">
        <f t="shared" si="4"/>
        <v>1.1163679125282984</v>
      </c>
      <c r="H39">
        <f t="shared" si="5"/>
        <v>10358.256016362</v>
      </c>
      <c r="I39">
        <f t="shared" si="6"/>
        <v>1558.8439836380003</v>
      </c>
    </row>
    <row r="40" spans="3:9" x14ac:dyDescent="0.25">
      <c r="C40" s="1">
        <v>42370</v>
      </c>
      <c r="D40">
        <v>10581.9</v>
      </c>
      <c r="E40">
        <f t="shared" si="2"/>
        <v>10435.375649264814</v>
      </c>
      <c r="F40">
        <f t="shared" si="3"/>
        <v>-365.64671131793324</v>
      </c>
      <c r="G40">
        <f t="shared" si="4"/>
        <v>1.0114693592948958</v>
      </c>
      <c r="H40">
        <f t="shared" si="5"/>
        <v>9938.2689114530167</v>
      </c>
      <c r="I40">
        <f t="shared" si="6"/>
        <v>643.63108854698294</v>
      </c>
    </row>
    <row r="41" spans="3:9" x14ac:dyDescent="0.25">
      <c r="C41" s="1">
        <v>42401</v>
      </c>
      <c r="D41">
        <v>11316.7</v>
      </c>
      <c r="E41">
        <f t="shared" si="2"/>
        <v>11187.060541265537</v>
      </c>
      <c r="F41">
        <f t="shared" si="3"/>
        <v>-142.18039065420194</v>
      </c>
      <c r="G41">
        <f t="shared" si="4"/>
        <v>0.99680235288266994</v>
      </c>
      <c r="H41">
        <f t="shared" si="5"/>
        <v>11064.792723964989</v>
      </c>
      <c r="I41">
        <f t="shared" si="6"/>
        <v>251.90727603501182</v>
      </c>
    </row>
    <row r="42" spans="3:9" x14ac:dyDescent="0.25">
      <c r="C42" s="1">
        <v>42430</v>
      </c>
      <c r="D42">
        <v>11812.1</v>
      </c>
      <c r="E42">
        <f t="shared" si="2"/>
        <v>11641.650067980652</v>
      </c>
      <c r="F42">
        <f t="shared" si="3"/>
        <v>-22.826407180338464</v>
      </c>
      <c r="G42">
        <f t="shared" si="4"/>
        <v>1.0069382826681337</v>
      </c>
      <c r="H42">
        <f t="shared" si="5"/>
        <v>11257.242916617228</v>
      </c>
      <c r="I42">
        <f t="shared" si="6"/>
        <v>554.85708338277254</v>
      </c>
    </row>
    <row r="43" spans="3:9" x14ac:dyDescent="0.25">
      <c r="C43" s="1">
        <v>42461</v>
      </c>
      <c r="D43">
        <v>11689.7</v>
      </c>
      <c r="E43">
        <f t="shared" si="2"/>
        <v>11975.901686381258</v>
      </c>
      <c r="F43">
        <f t="shared" si="3"/>
        <v>48.589197935850308</v>
      </c>
      <c r="G43">
        <f t="shared" si="4"/>
        <v>0.97176859452915632</v>
      </c>
      <c r="H43">
        <f t="shared" si="5"/>
        <v>12582.72342915911</v>
      </c>
      <c r="I43">
        <f t="shared" si="6"/>
        <v>-893.02342915910958</v>
      </c>
    </row>
    <row r="44" spans="3:9" x14ac:dyDescent="0.25">
      <c r="C44" s="1">
        <v>42491</v>
      </c>
      <c r="D44">
        <v>11517.4</v>
      </c>
      <c r="E44">
        <f t="shared" si="2"/>
        <v>11210.042601485908</v>
      </c>
      <c r="F44">
        <f t="shared" si="3"/>
        <v>-114.30045863038976</v>
      </c>
      <c r="G44">
        <f t="shared" si="4"/>
        <v>1.0388219943031705</v>
      </c>
      <c r="H44">
        <f t="shared" si="5"/>
        <v>10982.777473385844</v>
      </c>
      <c r="I44">
        <f t="shared" si="6"/>
        <v>534.6225266141555</v>
      </c>
    </row>
    <row r="45" spans="3:9" x14ac:dyDescent="0.25">
      <c r="C45" s="1">
        <v>42522</v>
      </c>
      <c r="D45">
        <v>13206.1</v>
      </c>
      <c r="E45">
        <f t="shared" si="2"/>
        <v>12892.694763665195</v>
      </c>
      <c r="F45">
        <f t="shared" si="3"/>
        <v>245.09006553154563</v>
      </c>
      <c r="G45">
        <f t="shared" si="4"/>
        <v>1.0036149566863597</v>
      </c>
      <c r="H45">
        <f t="shared" si="5"/>
        <v>12775.858848293525</v>
      </c>
      <c r="I45">
        <f t="shared" si="6"/>
        <v>430.24115170647565</v>
      </c>
    </row>
    <row r="46" spans="3:9" x14ac:dyDescent="0.25">
      <c r="C46" s="1">
        <v>42552</v>
      </c>
      <c r="D46">
        <v>9649.5</v>
      </c>
      <c r="E46">
        <f t="shared" si="2"/>
        <v>10565.8447139866</v>
      </c>
      <c r="F46">
        <f t="shared" si="3"/>
        <v>-269.29795751048243</v>
      </c>
      <c r="G46">
        <f t="shared" si="4"/>
        <v>0.94878008651073742</v>
      </c>
      <c r="H46">
        <f t="shared" si="5"/>
        <v>9108.4966585965831</v>
      </c>
      <c r="I46">
        <f t="shared" si="6"/>
        <v>541.00334140341693</v>
      </c>
    </row>
    <row r="47" spans="3:9" x14ac:dyDescent="0.25">
      <c r="C47" s="1">
        <v>42583</v>
      </c>
      <c r="D47">
        <v>12701.7</v>
      </c>
      <c r="E47">
        <f t="shared" si="2"/>
        <v>13546.04775292152</v>
      </c>
      <c r="F47">
        <f t="shared" si="3"/>
        <v>380.60224177859811</v>
      </c>
      <c r="G47">
        <f t="shared" si="4"/>
        <v>0.90583732043799781</v>
      </c>
      <c r="H47">
        <f t="shared" si="5"/>
        <v>13314.565103984094</v>
      </c>
      <c r="I47">
        <f t="shared" si="6"/>
        <v>-612.86510398409337</v>
      </c>
    </row>
    <row r="48" spans="3:9" x14ac:dyDescent="0.25">
      <c r="C48" s="1">
        <v>42614</v>
      </c>
      <c r="D48">
        <v>12579.8</v>
      </c>
      <c r="E48">
        <f t="shared" si="2"/>
        <v>13311.815557279766</v>
      </c>
      <c r="F48">
        <f t="shared" si="3"/>
        <v>257.63535429452759</v>
      </c>
      <c r="G48">
        <f t="shared" si="4"/>
        <v>0.95163366394078541</v>
      </c>
      <c r="H48">
        <f t="shared" si="5"/>
        <v>13770.784304859115</v>
      </c>
      <c r="I48">
        <f t="shared" si="6"/>
        <v>-1190.9843048591156</v>
      </c>
    </row>
    <row r="49" spans="3:9" x14ac:dyDescent="0.25">
      <c r="C49" s="1">
        <v>42644</v>
      </c>
      <c r="D49">
        <v>12743.7</v>
      </c>
      <c r="E49">
        <f t="shared" si="2"/>
        <v>12759.796515816084</v>
      </c>
      <c r="F49">
        <f t="shared" si="3"/>
        <v>95.704475142885713</v>
      </c>
      <c r="G49">
        <f t="shared" si="4"/>
        <v>1.0083977515342184</v>
      </c>
      <c r="H49">
        <f t="shared" si="5"/>
        <v>13189.978209689996</v>
      </c>
      <c r="I49">
        <f t="shared" si="6"/>
        <v>-446.27820968999549</v>
      </c>
    </row>
    <row r="50" spans="3:9" x14ac:dyDescent="0.25">
      <c r="C50" s="1">
        <v>42675</v>
      </c>
      <c r="D50">
        <v>13502.9</v>
      </c>
      <c r="E50">
        <f t="shared" si="2"/>
        <v>13099.490257444191</v>
      </c>
      <c r="F50">
        <f t="shared" si="3"/>
        <v>144.50232843993001</v>
      </c>
      <c r="G50">
        <f t="shared" si="4"/>
        <v>1.0279292644620805</v>
      </c>
      <c r="H50">
        <f t="shared" si="5"/>
        <v>14785.168356643717</v>
      </c>
      <c r="I50">
        <f t="shared" si="6"/>
        <v>-1282.2683566437172</v>
      </c>
    </row>
    <row r="51" spans="3:9" x14ac:dyDescent="0.25">
      <c r="C51" s="1">
        <v>42705</v>
      </c>
      <c r="D51">
        <v>13832.4</v>
      </c>
      <c r="E51">
        <f t="shared" si="2"/>
        <v>12561.229603572363</v>
      </c>
      <c r="F51">
        <f t="shared" si="3"/>
        <v>7.9497319775783524</v>
      </c>
      <c r="G51">
        <f t="shared" si="4"/>
        <v>1.1102999183161855</v>
      </c>
      <c r="H51">
        <f t="shared" si="5"/>
        <v>12713.339769391343</v>
      </c>
      <c r="I51">
        <f t="shared" si="6"/>
        <v>1119.0602306086566</v>
      </c>
    </row>
    <row r="52" spans="3:9" x14ac:dyDescent="0.25">
      <c r="C52" s="1">
        <v>42736</v>
      </c>
      <c r="D52">
        <v>13397.7</v>
      </c>
      <c r="E52">
        <f t="shared" si="2"/>
        <v>13110.459384674301</v>
      </c>
      <c r="F52">
        <f t="shared" si="3"/>
        <v>116.20574180245029</v>
      </c>
      <c r="G52">
        <f t="shared" si="4"/>
        <v>1.0156453242128523</v>
      </c>
      <c r="H52">
        <f t="shared" si="5"/>
        <v>13184.370918863184</v>
      </c>
      <c r="I52">
        <f t="shared" si="6"/>
        <v>213.32908113681697</v>
      </c>
    </row>
    <row r="53" spans="3:9" x14ac:dyDescent="0.25">
      <c r="C53" s="1">
        <v>42767</v>
      </c>
      <c r="D53">
        <v>12616</v>
      </c>
      <c r="E53">
        <f t="shared" si="2"/>
        <v>12770.509767517575</v>
      </c>
      <c r="F53">
        <f t="shared" si="3"/>
        <v>24.974670010615</v>
      </c>
      <c r="G53">
        <f t="shared" si="4"/>
        <v>0.99324183146756484</v>
      </c>
      <c r="H53">
        <f t="shared" si="5"/>
        <v>12884.263125431466</v>
      </c>
      <c r="I53">
        <f t="shared" si="6"/>
        <v>-268.2631254314656</v>
      </c>
    </row>
    <row r="54" spans="3:9" x14ac:dyDescent="0.25">
      <c r="C54" s="1">
        <v>42795</v>
      </c>
      <c r="D54">
        <v>14718.5</v>
      </c>
      <c r="E54">
        <f t="shared" si="2"/>
        <v>14252.762927096202</v>
      </c>
      <c r="F54">
        <f t="shared" si="3"/>
        <v>316.43036792421753</v>
      </c>
      <c r="G54">
        <f t="shared" si="4"/>
        <v>1.0172337566556027</v>
      </c>
      <c r="H54">
        <f t="shared" si="5"/>
        <v>14157.884491725603</v>
      </c>
      <c r="I54">
        <f t="shared" si="6"/>
        <v>560.61550827439714</v>
      </c>
    </row>
    <row r="55" spans="3:9" x14ac:dyDescent="0.25">
      <c r="C55" s="1">
        <v>42826</v>
      </c>
      <c r="D55">
        <v>13269.7</v>
      </c>
      <c r="E55">
        <f t="shared" si="2"/>
        <v>13838.003176940139</v>
      </c>
      <c r="F55">
        <f t="shared" si="3"/>
        <v>170.19234430816141</v>
      </c>
      <c r="G55">
        <f t="shared" si="4"/>
        <v>0.96663383928813618</v>
      </c>
      <c r="H55">
        <f t="shared" si="5"/>
        <v>14552.021607971901</v>
      </c>
      <c r="I55">
        <f t="shared" si="6"/>
        <v>-1282.3216079719004</v>
      </c>
    </row>
    <row r="56" spans="3:9" x14ac:dyDescent="0.25">
      <c r="C56" s="1">
        <v>42856</v>
      </c>
      <c r="D56">
        <v>14333.9</v>
      </c>
      <c r="E56">
        <f t="shared" si="2"/>
        <v>13840.219402784838</v>
      </c>
      <c r="F56">
        <f t="shared" si="3"/>
        <v>136.5971206154689</v>
      </c>
      <c r="G56">
        <f t="shared" si="4"/>
        <v>1.0375611957471707</v>
      </c>
      <c r="H56">
        <f t="shared" si="5"/>
        <v>14027.342109745596</v>
      </c>
      <c r="I56">
        <f t="shared" si="6"/>
        <v>306.5578902544039</v>
      </c>
    </row>
    <row r="57" spans="3:9" x14ac:dyDescent="0.25">
      <c r="C57" s="1">
        <v>42887</v>
      </c>
      <c r="D57">
        <v>11661.4</v>
      </c>
      <c r="E57">
        <f t="shared" si="2"/>
        <v>12090.880412956327</v>
      </c>
      <c r="F57">
        <f t="shared" si="3"/>
        <v>-240.59010147332714</v>
      </c>
      <c r="G57">
        <f t="shared" si="4"/>
        <v>0.98796056574748115</v>
      </c>
      <c r="H57">
        <f t="shared" si="5"/>
        <v>11243.319466906194</v>
      </c>
      <c r="I57">
        <f t="shared" si="6"/>
        <v>418.08053309380557</v>
      </c>
    </row>
    <row r="58" spans="3:9" x14ac:dyDescent="0.25">
      <c r="C58" s="1">
        <v>42917</v>
      </c>
      <c r="D58">
        <v>13611.1</v>
      </c>
      <c r="E58">
        <f t="shared" si="2"/>
        <v>13846.774484587118</v>
      </c>
      <c r="F58">
        <f t="shared" si="3"/>
        <v>158.70673314749661</v>
      </c>
      <c r="G58">
        <f t="shared" si="4"/>
        <v>0.96245998307136615</v>
      </c>
      <c r="H58">
        <f t="shared" si="5"/>
        <v>12686.68757771743</v>
      </c>
      <c r="I58">
        <f t="shared" si="6"/>
        <v>924.41242228257033</v>
      </c>
    </row>
    <row r="59" spans="3:9" x14ac:dyDescent="0.25">
      <c r="C59" s="1">
        <v>42948</v>
      </c>
      <c r="D59">
        <v>15188</v>
      </c>
      <c r="E59">
        <f t="shared" si="2"/>
        <v>16214.542262888388</v>
      </c>
      <c r="F59">
        <f t="shared" si="3"/>
        <v>600.51894217825122</v>
      </c>
      <c r="G59">
        <f t="shared" si="4"/>
        <v>0.91817840232228898</v>
      </c>
      <c r="H59">
        <f t="shared" si="5"/>
        <v>16001.778303966124</v>
      </c>
      <c r="I59">
        <f t="shared" si="6"/>
        <v>-813.77830396612444</v>
      </c>
    </row>
    <row r="60" spans="3:9" x14ac:dyDescent="0.25">
      <c r="C60" s="1">
        <v>42979</v>
      </c>
      <c r="D60">
        <v>14580.2</v>
      </c>
      <c r="E60">
        <f t="shared" si="2"/>
        <v>15619.99771975086</v>
      </c>
      <c r="F60">
        <f t="shared" si="3"/>
        <v>361.50624511509534</v>
      </c>
      <c r="G60">
        <f t="shared" si="4"/>
        <v>0.94435285210215836</v>
      </c>
      <c r="H60">
        <f t="shared" si="5"/>
        <v>16115.712664306026</v>
      </c>
      <c r="I60">
        <f t="shared" si="6"/>
        <v>-1535.5126643060248</v>
      </c>
    </row>
    <row r="61" spans="3:9" x14ac:dyDescent="0.25">
      <c r="C61" s="1">
        <v>43009</v>
      </c>
      <c r="D61">
        <v>15252.6</v>
      </c>
      <c r="E61">
        <f t="shared" si="2"/>
        <v>15296.764108599637</v>
      </c>
      <c r="F61">
        <f t="shared" si="3"/>
        <v>224.55827386183165</v>
      </c>
      <c r="G61">
        <f t="shared" si="4"/>
        <v>1.0038837894534627</v>
      </c>
      <c r="H61">
        <f t="shared" si="5"/>
        <v>15954.821500082446</v>
      </c>
      <c r="I61">
        <f t="shared" si="6"/>
        <v>-702.22150008244535</v>
      </c>
    </row>
    <row r="62" spans="3:9" x14ac:dyDescent="0.25">
      <c r="C62" s="1">
        <v>43040</v>
      </c>
      <c r="D62">
        <v>15334.7</v>
      </c>
      <c r="E62">
        <f t="shared" si="2"/>
        <v>15038.704349083886</v>
      </c>
      <c r="F62">
        <f t="shared" si="3"/>
        <v>128.03466718631523</v>
      </c>
      <c r="G62">
        <f t="shared" si="4"/>
        <v>1.024630461662648</v>
      </c>
      <c r="H62">
        <f t="shared" si="5"/>
        <v>16839.629090887709</v>
      </c>
      <c r="I62">
        <f t="shared" si="6"/>
        <v>-1504.9290908877083</v>
      </c>
    </row>
    <row r="63" spans="3:9" x14ac:dyDescent="0.25">
      <c r="C63" s="1">
        <v>43070</v>
      </c>
      <c r="D63">
        <v>14864.5</v>
      </c>
      <c r="E63">
        <f t="shared" si="2"/>
        <v>13743.607079895337</v>
      </c>
      <c r="F63">
        <f t="shared" si="3"/>
        <v>-156.59172008865761</v>
      </c>
      <c r="G63">
        <f t="shared" si="4"/>
        <v>1.09880291273734</v>
      </c>
      <c r="H63">
        <f t="shared" si="5"/>
        <v>13799.588620195858</v>
      </c>
      <c r="I63">
        <f t="shared" si="6"/>
        <v>1064.9113798041417</v>
      </c>
    </row>
    <row r="64" spans="3:9" x14ac:dyDescent="0.25">
      <c r="C64" s="1">
        <v>43101</v>
      </c>
      <c r="D64">
        <v>14576.3</v>
      </c>
      <c r="E64">
        <f t="shared" si="2"/>
        <v>14198.812695973109</v>
      </c>
      <c r="F64">
        <f t="shared" si="3"/>
        <v>-34.232252855371684</v>
      </c>
      <c r="G64">
        <f t="shared" si="4"/>
        <v>1.0200215288797363</v>
      </c>
      <c r="H64">
        <f t="shared" si="5"/>
        <v>14068.853821291912</v>
      </c>
      <c r="I64">
        <f t="shared" si="6"/>
        <v>507.44617870808725</v>
      </c>
    </row>
    <row r="65" spans="3:9" x14ac:dyDescent="0.25">
      <c r="C65" s="1">
        <v>43132</v>
      </c>
      <c r="D65">
        <v>14132.4</v>
      </c>
      <c r="E65">
        <f t="shared" si="2"/>
        <v>14215.76328837845</v>
      </c>
      <c r="F65">
        <f t="shared" si="3"/>
        <v>-23.995683803229145</v>
      </c>
      <c r="G65">
        <f t="shared" si="4"/>
        <v>0.99359944112900334</v>
      </c>
      <c r="H65">
        <f t="shared" si="5"/>
        <v>14436.345073985336</v>
      </c>
      <c r="I65">
        <f t="shared" si="6"/>
        <v>-303.94507398533642</v>
      </c>
    </row>
    <row r="66" spans="3:9" x14ac:dyDescent="0.25">
      <c r="C66" s="1">
        <v>43160</v>
      </c>
      <c r="D66">
        <v>15510.6</v>
      </c>
      <c r="E66">
        <f t="shared" si="2"/>
        <v>15036.611707701748</v>
      </c>
      <c r="F66">
        <f t="shared" si="3"/>
        <v>144.9731368220763</v>
      </c>
      <c r="G66">
        <f t="shared" si="4"/>
        <v>1.0229491662007701</v>
      </c>
      <c r="H66">
        <f t="shared" si="5"/>
        <v>14675.033644740646</v>
      </c>
      <c r="I66">
        <f t="shared" si="6"/>
        <v>835.56635525935417</v>
      </c>
    </row>
    <row r="67" spans="3:9" x14ac:dyDescent="0.25">
      <c r="C67" s="1">
        <v>43191</v>
      </c>
      <c r="D67">
        <v>14496.2</v>
      </c>
      <c r="E67">
        <f t="shared" si="2"/>
        <v>15033.57956064314</v>
      </c>
      <c r="F67">
        <f t="shared" si="3"/>
        <v>115.3720800459395</v>
      </c>
      <c r="G67">
        <f t="shared" si="4"/>
        <v>0.96568219024663271</v>
      </c>
      <c r="H67">
        <f t="shared" si="5"/>
        <v>15717.964378629424</v>
      </c>
      <c r="I67">
        <f t="shared" si="6"/>
        <v>-1221.7643786294229</v>
      </c>
    </row>
    <row r="68" spans="3:9" x14ac:dyDescent="0.25">
      <c r="C68" s="1">
        <v>43221</v>
      </c>
      <c r="D68">
        <v>16198.3</v>
      </c>
      <c r="E68">
        <f t="shared" si="2"/>
        <v>15519.309069890873</v>
      </c>
      <c r="F68">
        <f t="shared" si="3"/>
        <v>189.4435658862981</v>
      </c>
      <c r="G68">
        <f t="shared" si="4"/>
        <v>1.0400372627896268</v>
      </c>
      <c r="H68">
        <f t="shared" si="5"/>
        <v>15519.62814122965</v>
      </c>
      <c r="I68">
        <f t="shared" si="6"/>
        <v>678.67185877034899</v>
      </c>
    </row>
    <row r="69" spans="3:9" x14ac:dyDescent="0.25">
      <c r="C69" s="1">
        <v>43252</v>
      </c>
      <c r="D69">
        <v>12941.7</v>
      </c>
      <c r="E69">
        <f t="shared" si="2"/>
        <v>13621.27811049248</v>
      </c>
      <c r="F69">
        <f t="shared" si="3"/>
        <v>-228.05133917064009</v>
      </c>
      <c r="G69">
        <f t="shared" si="4"/>
        <v>0.97281997103783269</v>
      </c>
      <c r="H69">
        <f t="shared" si="5"/>
        <v>12890.444811597385</v>
      </c>
      <c r="I69">
        <f t="shared" si="6"/>
        <v>51.255188402616113</v>
      </c>
    </row>
    <row r="70" spans="3:9" x14ac:dyDescent="0.25">
      <c r="C70" s="1">
        <v>43282</v>
      </c>
      <c r="D70">
        <v>16284.7</v>
      </c>
      <c r="E70">
        <f t="shared" si="2"/>
        <v>16214.543188090458</v>
      </c>
      <c r="F70">
        <f t="shared" si="3"/>
        <v>336.21194418308357</v>
      </c>
      <c r="G70">
        <f t="shared" si="4"/>
        <v>0.97920670309439184</v>
      </c>
      <c r="H70">
        <f t="shared" si="5"/>
        <v>15196.545904578345</v>
      </c>
      <c r="I70">
        <f t="shared" si="6"/>
        <v>1088.1540954216562</v>
      </c>
    </row>
    <row r="71" spans="3:9" x14ac:dyDescent="0.25">
      <c r="C71" s="1">
        <v>43313</v>
      </c>
      <c r="D71">
        <v>15865.1</v>
      </c>
      <c r="E71">
        <f t="shared" si="2"/>
        <v>17133.259877521938</v>
      </c>
      <c r="F71">
        <f t="shared" si="3"/>
        <v>452.71289323276278</v>
      </c>
      <c r="G71">
        <f t="shared" si="4"/>
        <v>0.92130006906966033</v>
      </c>
      <c r="H71">
        <f t="shared" si="5"/>
        <v>16607.363543053096</v>
      </c>
      <c r="I71">
        <f t="shared" si="6"/>
        <v>-742.26354305309542</v>
      </c>
    </row>
    <row r="72" spans="3:9" x14ac:dyDescent="0.25">
      <c r="C72" s="1">
        <v>43344</v>
      </c>
      <c r="D72">
        <v>14956.3</v>
      </c>
      <c r="E72">
        <f t="shared" si="2"/>
        <v>16187.289183891777</v>
      </c>
      <c r="F72">
        <f t="shared" si="3"/>
        <v>172.97617586017805</v>
      </c>
      <c r="G72">
        <f t="shared" si="4"/>
        <v>0.93619304955932814</v>
      </c>
      <c r="H72">
        <f t="shared" si="5"/>
        <v>16423.805185812009</v>
      </c>
      <c r="I72">
        <f t="shared" si="6"/>
        <v>-1467.5051858120096</v>
      </c>
    </row>
    <row r="73" spans="3:9" x14ac:dyDescent="0.25">
      <c r="C73" s="1">
        <v>43374</v>
      </c>
      <c r="D73">
        <v>15909.1</v>
      </c>
      <c r="E73">
        <f t="shared" si="2"/>
        <v>15950.094229412472</v>
      </c>
      <c r="F73">
        <f t="shared" si="3"/>
        <v>90.941949792281576</v>
      </c>
      <c r="G73">
        <f t="shared" si="4"/>
        <v>1.0013022112964491</v>
      </c>
      <c r="H73">
        <f t="shared" si="5"/>
        <v>16436.134305845808</v>
      </c>
      <c r="I73">
        <f t="shared" si="6"/>
        <v>-527.03430584580747</v>
      </c>
    </row>
    <row r="74" spans="3:9" x14ac:dyDescent="0.25">
      <c r="C74" s="1">
        <v>43405</v>
      </c>
      <c r="D74">
        <v>14851.7</v>
      </c>
      <c r="E74">
        <f t="shared" si="2"/>
        <v>14803.958528185263</v>
      </c>
      <c r="F74">
        <f t="shared" si="3"/>
        <v>-156.47358041161658</v>
      </c>
      <c r="G74">
        <f t="shared" si="4"/>
        <v>1.016068242022115</v>
      </c>
      <c r="H74">
        <f t="shared" si="5"/>
        <v>16094.699124890027</v>
      </c>
      <c r="I74">
        <f t="shared" si="6"/>
        <v>-1242.999124890026</v>
      </c>
    </row>
    <row r="75" spans="3:9" x14ac:dyDescent="0.25">
      <c r="C75" s="1">
        <v>43435</v>
      </c>
      <c r="D75">
        <v>14290.1</v>
      </c>
      <c r="E75">
        <f t="shared" si="2"/>
        <v>13333.619391742744</v>
      </c>
      <c r="F75">
        <f t="shared" si="3"/>
        <v>-419.24669161779707</v>
      </c>
      <c r="G75">
        <f t="shared" si="4"/>
        <v>1.0879755502823558</v>
      </c>
      <c r="H75">
        <f t="shared" si="5"/>
        <v>13172.938186104178</v>
      </c>
      <c r="I75">
        <f t="shared" si="6"/>
        <v>1117.161813895822</v>
      </c>
    </row>
    <row r="76" spans="3:9" x14ac:dyDescent="0.25">
      <c r="C76" s="1">
        <v>43466</v>
      </c>
      <c r="D76">
        <v>14028.1</v>
      </c>
      <c r="E76">
        <f t="shared" si="2"/>
        <v>13585.073691963837</v>
      </c>
      <c r="F76">
        <f t="shared" si="3"/>
        <v>-285.10649325001924</v>
      </c>
      <c r="G76">
        <f t="shared" si="4"/>
        <v>1.0250574194949</v>
      </c>
      <c r="H76">
        <f t="shared" si="5"/>
        <v>13214.839975676125</v>
      </c>
      <c r="I76">
        <f t="shared" si="6"/>
        <v>813.26002432387577</v>
      </c>
    </row>
    <row r="77" spans="3:9" x14ac:dyDescent="0.25">
      <c r="C77" s="1">
        <v>43497</v>
      </c>
      <c r="D77">
        <v>12788.6</v>
      </c>
      <c r="E77">
        <f t="shared" si="2"/>
        <v>12956.778619467599</v>
      </c>
      <c r="F77">
        <f t="shared" si="3"/>
        <v>-353.74420909926289</v>
      </c>
      <c r="G77">
        <f t="shared" si="4"/>
        <v>0.9909676760077829</v>
      </c>
      <c r="H77">
        <f t="shared" si="5"/>
        <v>12892.263541685905</v>
      </c>
      <c r="I77">
        <f t="shared" si="6"/>
        <v>-103.66354168590442</v>
      </c>
    </row>
    <row r="78" spans="3:9" x14ac:dyDescent="0.25">
      <c r="C78" s="1">
        <v>43525</v>
      </c>
      <c r="D78">
        <v>14447.8</v>
      </c>
      <c r="E78">
        <f t="shared" si="2"/>
        <v>13819.545658207839</v>
      </c>
      <c r="F78">
        <f t="shared" si="3"/>
        <v>-110.44195953136244</v>
      </c>
      <c r="G78">
        <f t="shared" si="4"/>
        <v>1.0319540148219124</v>
      </c>
      <c r="H78">
        <f t="shared" si="5"/>
        <v>13238.637286056113</v>
      </c>
      <c r="I78">
        <f t="shared" si="6"/>
        <v>1209.162713943886</v>
      </c>
    </row>
    <row r="79" spans="3:9" x14ac:dyDescent="0.25">
      <c r="C79" s="1">
        <v>43556</v>
      </c>
      <c r="D79">
        <v>13068.1</v>
      </c>
      <c r="E79">
        <f t="shared" si="2"/>
        <v>13567.825511895329</v>
      </c>
      <c r="F79">
        <f t="shared" si="3"/>
        <v>-138.69759688759183</v>
      </c>
      <c r="G79">
        <f t="shared" si="4"/>
        <v>0.96467665086432508</v>
      </c>
      <c r="H79">
        <f t="shared" si="5"/>
        <v>13966.793438376415</v>
      </c>
      <c r="I79">
        <f t="shared" si="6"/>
        <v>-898.69343837641463</v>
      </c>
    </row>
    <row r="80" spans="3:9" x14ac:dyDescent="0.25">
      <c r="C80" s="1">
        <v>43586</v>
      </c>
      <c r="D80">
        <v>14751.9</v>
      </c>
      <c r="E80">
        <f t="shared" si="2"/>
        <v>14033.034401602454</v>
      </c>
      <c r="F80">
        <f t="shared" si="3"/>
        <v>-17.916299568648583</v>
      </c>
      <c r="G80">
        <f t="shared" si="4"/>
        <v>1.0445130249899044</v>
      </c>
      <c r="H80">
        <f t="shared" si="5"/>
        <v>13634.18678611233</v>
      </c>
      <c r="I80">
        <f t="shared" si="6"/>
        <v>1117.7132138876696</v>
      </c>
    </row>
    <row r="81" spans="3:9" x14ac:dyDescent="0.25">
      <c r="C81" s="1">
        <v>43617</v>
      </c>
      <c r="D81">
        <v>11763.4</v>
      </c>
      <c r="E81">
        <f t="shared" ref="E81:E135" si="7">$M$6*(D81/G69)+(1-$M$6)*(E80+F80)</f>
        <v>12476.673710012106</v>
      </c>
      <c r="F81">
        <f t="shared" ref="F81:F135" si="8">$M$7*(E81-E80)+(1-$M$7)*F80</f>
        <v>-325.60517797298837</v>
      </c>
      <c r="G81">
        <f t="shared" ref="G81:G135" si="9">$M$8*(D81/E81)+(1-$M$8)*G69</f>
        <v>0.96082455091484853</v>
      </c>
      <c r="H81">
        <f t="shared" ref="H81:H122" si="10">(E81+F81*1)*G70</f>
        <v>11898.407756332037</v>
      </c>
      <c r="I81">
        <f t="shared" si="6"/>
        <v>-135.00775633203739</v>
      </c>
    </row>
    <row r="82" spans="3:9" x14ac:dyDescent="0.25">
      <c r="C82" s="1">
        <v>43647</v>
      </c>
      <c r="D82">
        <v>15238.4</v>
      </c>
      <c r="E82">
        <f t="shared" si="7"/>
        <v>14879.801685611905</v>
      </c>
      <c r="F82">
        <f t="shared" si="8"/>
        <v>220.14145274156903</v>
      </c>
      <c r="G82">
        <f t="shared" si="9"/>
        <v>0.99716388996683558</v>
      </c>
      <c r="H82">
        <f t="shared" si="10"/>
        <v>13911.578656312999</v>
      </c>
      <c r="I82">
        <f t="shared" ref="I82:I135" si="11">D82-H82</f>
        <v>1326.821343687001</v>
      </c>
    </row>
    <row r="83" spans="3:9" x14ac:dyDescent="0.25">
      <c r="C83" s="1">
        <v>43678</v>
      </c>
      <c r="D83">
        <v>14262</v>
      </c>
      <c r="E83">
        <f t="shared" si="7"/>
        <v>15404.227360575109</v>
      </c>
      <c r="F83">
        <f t="shared" si="8"/>
        <v>280.99829718589604</v>
      </c>
      <c r="G83">
        <f t="shared" si="9"/>
        <v>0.9231199401244532</v>
      </c>
      <c r="H83">
        <f t="shared" si="10"/>
        <v>14684.399241565494</v>
      </c>
      <c r="I83">
        <f t="shared" si="11"/>
        <v>-422.39924156549387</v>
      </c>
    </row>
    <row r="84" spans="3:9" x14ac:dyDescent="0.25">
      <c r="C84" s="1">
        <v>43709</v>
      </c>
      <c r="D84">
        <v>14080.1</v>
      </c>
      <c r="E84">
        <f t="shared" si="7"/>
        <v>15168.837084400038</v>
      </c>
      <c r="F84">
        <f t="shared" si="8"/>
        <v>177.72058251370271</v>
      </c>
      <c r="G84">
        <f t="shared" si="9"/>
        <v>0.93300599315834942</v>
      </c>
      <c r="H84">
        <f t="shared" si="10"/>
        <v>15366.542127669203</v>
      </c>
      <c r="I84">
        <f t="shared" si="11"/>
        <v>-1286.4421276692028</v>
      </c>
    </row>
    <row r="85" spans="3:9" x14ac:dyDescent="0.25">
      <c r="C85" s="1">
        <v>43739</v>
      </c>
      <c r="D85">
        <v>14881.5</v>
      </c>
      <c r="E85">
        <f t="shared" si="7"/>
        <v>14959.028609494651</v>
      </c>
      <c r="F85">
        <f t="shared" si="8"/>
        <v>100.21477102988479</v>
      </c>
      <c r="G85">
        <f t="shared" si="9"/>
        <v>0.99870823469365644</v>
      </c>
      <c r="H85">
        <f t="shared" si="10"/>
        <v>15301.218947832738</v>
      </c>
      <c r="I85">
        <f t="shared" si="11"/>
        <v>-419.71894783273819</v>
      </c>
    </row>
    <row r="86" spans="3:9" x14ac:dyDescent="0.25">
      <c r="C86" s="1">
        <v>43770</v>
      </c>
      <c r="D86">
        <v>13944.5</v>
      </c>
      <c r="E86">
        <f t="shared" si="7"/>
        <v>13991.032493324534</v>
      </c>
      <c r="F86">
        <f t="shared" si="8"/>
        <v>-113.42740641011569</v>
      </c>
      <c r="G86">
        <f t="shared" si="9"/>
        <v>1.008310593265427</v>
      </c>
      <c r="H86">
        <f t="shared" si="10"/>
        <v>15098.495031036935</v>
      </c>
      <c r="I86">
        <f t="shared" si="11"/>
        <v>-1153.995031036935</v>
      </c>
    </row>
    <row r="87" spans="3:9" ht="15.75" thickBot="1" x14ac:dyDescent="0.3">
      <c r="C87" s="1">
        <v>43800</v>
      </c>
      <c r="D87">
        <v>14428.8</v>
      </c>
      <c r="E87">
        <f t="shared" si="7"/>
        <v>13385.171203919064</v>
      </c>
      <c r="F87">
        <f t="shared" si="8"/>
        <v>-211.91418300918647</v>
      </c>
      <c r="G87">
        <f t="shared" si="9"/>
        <v>1.0839729415994523</v>
      </c>
      <c r="H87">
        <f t="shared" si="10"/>
        <v>13503.344848196954</v>
      </c>
      <c r="I87">
        <f t="shared" si="11"/>
        <v>925.45515180304574</v>
      </c>
    </row>
    <row r="88" spans="3:9" ht="15.75" thickBot="1" x14ac:dyDescent="0.3">
      <c r="C88" s="1">
        <v>43831</v>
      </c>
      <c r="D88" s="17">
        <v>13636.4</v>
      </c>
      <c r="E88">
        <f t="shared" si="7"/>
        <v>13277.099127135389</v>
      </c>
      <c r="F88">
        <f t="shared" si="8"/>
        <v>-191.14576176408431</v>
      </c>
      <c r="G88">
        <f t="shared" si="9"/>
        <v>1.0258591316793402</v>
      </c>
      <c r="H88">
        <f t="shared" si="10"/>
        <v>12967.756794828227</v>
      </c>
      <c r="I88">
        <f t="shared" si="11"/>
        <v>668.64320517177293</v>
      </c>
    </row>
    <row r="89" spans="3:9" ht="15.75" thickBot="1" x14ac:dyDescent="0.3">
      <c r="C89" s="1">
        <v>43862</v>
      </c>
      <c r="D89" s="17">
        <v>14042.1</v>
      </c>
      <c r="E89">
        <f t="shared" si="7"/>
        <v>13953.26173974725</v>
      </c>
      <c r="F89">
        <f t="shared" si="8"/>
        <v>-17.68408688889528</v>
      </c>
      <c r="G89">
        <f t="shared" si="9"/>
        <v>0.99712734376266443</v>
      </c>
      <c r="H89">
        <f t="shared" si="10"/>
        <v>14380.875307729701</v>
      </c>
      <c r="I89">
        <f t="shared" si="11"/>
        <v>-338.77530772970022</v>
      </c>
    </row>
    <row r="90" spans="3:9" ht="15.75" thickBot="1" x14ac:dyDescent="0.3">
      <c r="C90" s="1">
        <v>43891</v>
      </c>
      <c r="D90" s="17">
        <v>14031.3</v>
      </c>
      <c r="E90">
        <f t="shared" si="7"/>
        <v>13664.576966619421</v>
      </c>
      <c r="F90">
        <f t="shared" si="8"/>
        <v>-71.884224136681937</v>
      </c>
      <c r="G90">
        <f t="shared" si="9"/>
        <v>1.0299074074013759</v>
      </c>
      <c r="H90">
        <f t="shared" si="10"/>
        <v>13112.553311046067</v>
      </c>
      <c r="I90">
        <f t="shared" si="11"/>
        <v>918.74668895393188</v>
      </c>
    </row>
    <row r="91" spans="3:9" ht="15.75" thickBot="1" x14ac:dyDescent="0.3">
      <c r="C91" s="1">
        <v>43922</v>
      </c>
      <c r="D91" s="17">
        <v>12159.8</v>
      </c>
      <c r="E91">
        <f t="shared" si="7"/>
        <v>12802.580689750936</v>
      </c>
      <c r="F91">
        <f t="shared" si="8"/>
        <v>-229.90663468304263</v>
      </c>
      <c r="G91">
        <f t="shared" si="9"/>
        <v>0.95872314299503247</v>
      </c>
      <c r="H91">
        <f t="shared" si="10"/>
        <v>13132.321809471054</v>
      </c>
      <c r="I91">
        <f t="shared" si="11"/>
        <v>-972.52180947105444</v>
      </c>
    </row>
    <row r="92" spans="3:9" ht="15.75" thickBot="1" x14ac:dyDescent="0.3">
      <c r="C92" s="1">
        <v>43952</v>
      </c>
      <c r="D92" s="17">
        <v>10452.6</v>
      </c>
      <c r="E92">
        <f t="shared" si="7"/>
        <v>10520.255946066751</v>
      </c>
      <c r="F92">
        <f t="shared" si="8"/>
        <v>-640.39025648327106</v>
      </c>
      <c r="G92">
        <f t="shared" si="9"/>
        <v>1.0241354081470524</v>
      </c>
      <c r="H92">
        <f t="shared" si="10"/>
        <v>9492.8175142930668</v>
      </c>
      <c r="I92">
        <f t="shared" si="11"/>
        <v>959.78248570693358</v>
      </c>
    </row>
    <row r="93" spans="3:9" ht="15.75" thickBot="1" x14ac:dyDescent="0.3">
      <c r="C93" s="1">
        <v>43983</v>
      </c>
      <c r="D93" s="17">
        <v>12006.8</v>
      </c>
      <c r="E93">
        <f t="shared" si="7"/>
        <v>11973.053240474635</v>
      </c>
      <c r="F93">
        <f t="shared" si="8"/>
        <v>-221.75274630503992</v>
      </c>
      <c r="G93">
        <f t="shared" si="9"/>
        <v>0.97762215423433241</v>
      </c>
      <c r="H93">
        <f t="shared" si="10"/>
        <v>11717.972512935352</v>
      </c>
      <c r="I93">
        <f t="shared" si="11"/>
        <v>288.82748706464736</v>
      </c>
    </row>
    <row r="94" spans="3:9" ht="15.75" thickBot="1" x14ac:dyDescent="0.3">
      <c r="C94" s="1">
        <v>44013</v>
      </c>
      <c r="D94" s="17">
        <v>13689.9</v>
      </c>
      <c r="E94">
        <f t="shared" si="7"/>
        <v>13333.329291566366</v>
      </c>
      <c r="F94">
        <f t="shared" si="8"/>
        <v>94.653013174314196</v>
      </c>
      <c r="G94">
        <f t="shared" si="9"/>
        <v>1.0089954584757568</v>
      </c>
      <c r="H94">
        <f t="shared" si="10"/>
        <v>12395.638221144434</v>
      </c>
      <c r="I94">
        <f t="shared" si="11"/>
        <v>1294.2617788555654</v>
      </c>
    </row>
    <row r="95" spans="3:9" ht="15.75" thickBot="1" x14ac:dyDescent="0.3">
      <c r="C95" s="1">
        <v>44044</v>
      </c>
      <c r="D95" s="17">
        <v>13055.3</v>
      </c>
      <c r="E95">
        <f t="shared" si="7"/>
        <v>13999.662538420072</v>
      </c>
      <c r="F95">
        <f t="shared" si="8"/>
        <v>208.98905991019268</v>
      </c>
      <c r="G95">
        <f t="shared" si="9"/>
        <v>0.92688952686724901</v>
      </c>
      <c r="H95">
        <f t="shared" si="10"/>
        <v>13256.757095941099</v>
      </c>
      <c r="I95">
        <f t="shared" si="11"/>
        <v>-201.4570959410994</v>
      </c>
    </row>
    <row r="96" spans="3:9" ht="15.75" thickBot="1" x14ac:dyDescent="0.3">
      <c r="C96" s="1">
        <v>44075</v>
      </c>
      <c r="D96" s="17">
        <v>13956.2</v>
      </c>
      <c r="E96">
        <f t="shared" si="7"/>
        <v>14808.384426790408</v>
      </c>
      <c r="F96">
        <f t="shared" si="8"/>
        <v>328.93562560222125</v>
      </c>
      <c r="G96">
        <f t="shared" si="9"/>
        <v>0.93678462495990378</v>
      </c>
      <c r="H96">
        <f t="shared" si="10"/>
        <v>15117.766187517931</v>
      </c>
      <c r="I96">
        <f t="shared" si="11"/>
        <v>-1161.5661875179303</v>
      </c>
    </row>
    <row r="97" spans="3:9" ht="15.75" thickBot="1" x14ac:dyDescent="0.3">
      <c r="C97" s="1">
        <v>44105</v>
      </c>
      <c r="D97" s="17">
        <v>14363.4</v>
      </c>
      <c r="E97">
        <f t="shared" si="7"/>
        <v>14533.046522797213</v>
      </c>
      <c r="F97">
        <f t="shared" si="8"/>
        <v>208.08091968313801</v>
      </c>
      <c r="G97">
        <f t="shared" si="9"/>
        <v>0.99455567831762282</v>
      </c>
      <c r="H97">
        <f t="shared" si="10"/>
        <v>14863.63495692863</v>
      </c>
      <c r="I97">
        <f t="shared" si="11"/>
        <v>-500.23495692863071</v>
      </c>
    </row>
    <row r="98" spans="3:9" ht="15.75" thickBot="1" x14ac:dyDescent="0.3">
      <c r="C98" s="1">
        <v>44136</v>
      </c>
      <c r="D98" s="17">
        <v>15258.4</v>
      </c>
      <c r="E98">
        <f t="shared" si="7"/>
        <v>15054.336523656752</v>
      </c>
      <c r="F98">
        <f t="shared" si="8"/>
        <v>270.72273591841821</v>
      </c>
      <c r="G98">
        <f t="shared" si="9"/>
        <v>1.0104084076324755</v>
      </c>
      <c r="H98">
        <f t="shared" si="10"/>
        <v>16611.949565787621</v>
      </c>
      <c r="I98">
        <f t="shared" si="11"/>
        <v>-1353.5495657876218</v>
      </c>
    </row>
    <row r="99" spans="3:9" x14ac:dyDescent="0.25">
      <c r="C99" s="1">
        <v>44166</v>
      </c>
      <c r="D99" s="17">
        <v>16539.599999999999</v>
      </c>
      <c r="E99">
        <f t="shared" si="7"/>
        <v>15271.663413231723</v>
      </c>
      <c r="F99">
        <f t="shared" si="8"/>
        <v>260.04356664972886</v>
      </c>
      <c r="G99">
        <f t="shared" si="9"/>
        <v>1.0835939412832198</v>
      </c>
      <c r="H99">
        <f t="shared" si="10"/>
        <v>15933.343435879133</v>
      </c>
      <c r="I99">
        <f t="shared" si="11"/>
        <v>606.25656412086573</v>
      </c>
    </row>
    <row r="100" spans="3:9" x14ac:dyDescent="0.25">
      <c r="C100" s="1">
        <v>44197</v>
      </c>
      <c r="D100">
        <v>15300.2</v>
      </c>
      <c r="E100">
        <f t="shared" si="7"/>
        <v>15037.960096842904</v>
      </c>
      <c r="F100">
        <f t="shared" si="8"/>
        <v>161.2941900420193</v>
      </c>
      <c r="G100">
        <f t="shared" si="9"/>
        <v>1.0224908906051424</v>
      </c>
      <c r="H100">
        <f t="shared" si="10"/>
        <v>15155.592054254854</v>
      </c>
      <c r="I100">
        <f t="shared" si="11"/>
        <v>144.60794574514694</v>
      </c>
    </row>
    <row r="101" spans="3:9" x14ac:dyDescent="0.25">
      <c r="C101" s="1">
        <v>44228</v>
      </c>
      <c r="D101">
        <v>15255.4</v>
      </c>
      <c r="E101">
        <f t="shared" si="7"/>
        <v>15279.330675418023</v>
      </c>
      <c r="F101">
        <f t="shared" si="8"/>
        <v>177.30946774863926</v>
      </c>
      <c r="G101">
        <f t="shared" si="9"/>
        <v>0.99764992134339947</v>
      </c>
      <c r="H101">
        <f t="shared" si="10"/>
        <v>15918.908176984807</v>
      </c>
      <c r="I101">
        <f t="shared" si="11"/>
        <v>-663.50817698480751</v>
      </c>
    </row>
    <row r="102" spans="3:9" x14ac:dyDescent="0.25">
      <c r="C102" s="1">
        <v>44256</v>
      </c>
      <c r="D102">
        <v>18398.400000000001</v>
      </c>
      <c r="E102">
        <f t="shared" si="7"/>
        <v>17382.632173282345</v>
      </c>
      <c r="F102">
        <f t="shared" si="8"/>
        <v>562.50787377177585</v>
      </c>
      <c r="G102">
        <f t="shared" si="9"/>
        <v>1.0413187600586622</v>
      </c>
      <c r="H102">
        <f t="shared" si="10"/>
        <v>17204.42106739775</v>
      </c>
      <c r="I102">
        <f t="shared" si="11"/>
        <v>1193.978932602251</v>
      </c>
    </row>
    <row r="103" spans="3:9" x14ac:dyDescent="0.25">
      <c r="C103" s="1">
        <v>44287</v>
      </c>
      <c r="D103">
        <v>18474.099999999999</v>
      </c>
      <c r="E103">
        <f t="shared" si="7"/>
        <v>19004.614988806996</v>
      </c>
      <c r="F103">
        <f t="shared" si="8"/>
        <v>774.40286212235083</v>
      </c>
      <c r="G103">
        <f t="shared" si="9"/>
        <v>0.96406786135254752</v>
      </c>
      <c r="H103">
        <f t="shared" si="10"/>
        <v>20256.392519509362</v>
      </c>
      <c r="I103">
        <f t="shared" si="11"/>
        <v>-1782.292519509363</v>
      </c>
    </row>
    <row r="104" spans="3:9" x14ac:dyDescent="0.25">
      <c r="C104" s="1">
        <v>44317</v>
      </c>
      <c r="D104">
        <v>16908</v>
      </c>
      <c r="E104">
        <f t="shared" si="7"/>
        <v>17163.432065789828</v>
      </c>
      <c r="F104">
        <f t="shared" si="8"/>
        <v>251.28570509444717</v>
      </c>
      <c r="G104">
        <f t="shared" si="9"/>
        <v>1.0085283080907257</v>
      </c>
      <c r="H104">
        <f t="shared" si="10"/>
        <v>17025.013902554798</v>
      </c>
      <c r="I104">
        <f t="shared" si="11"/>
        <v>-117.01390255479782</v>
      </c>
    </row>
    <row r="105" spans="3:9" x14ac:dyDescent="0.25">
      <c r="C105" s="1">
        <v>44348</v>
      </c>
      <c r="D105">
        <v>18547.8</v>
      </c>
      <c r="E105">
        <f t="shared" si="7"/>
        <v>18660.832000885814</v>
      </c>
      <c r="F105">
        <f t="shared" si="8"/>
        <v>500.50855109475492</v>
      </c>
      <c r="G105">
        <f t="shared" si="9"/>
        <v>0.98415042091557337</v>
      </c>
      <c r="H105">
        <f t="shared" si="10"/>
        <v>19333.705595255742</v>
      </c>
      <c r="I105">
        <f t="shared" si="11"/>
        <v>-785.90559525574281</v>
      </c>
    </row>
    <row r="106" spans="3:9" x14ac:dyDescent="0.25">
      <c r="C106" s="1">
        <v>44378</v>
      </c>
      <c r="D106">
        <v>19369.599999999999</v>
      </c>
      <c r="E106">
        <f t="shared" si="7"/>
        <v>19189.800069369063</v>
      </c>
      <c r="F106">
        <f t="shared" si="8"/>
        <v>506.20045457245379</v>
      </c>
      <c r="G106">
        <f t="shared" si="9"/>
        <v>1.0091450979909764</v>
      </c>
      <c r="H106">
        <f t="shared" si="10"/>
        <v>18256.016606813238</v>
      </c>
      <c r="I106">
        <f t="shared" si="11"/>
        <v>1113.5833931867601</v>
      </c>
    </row>
    <row r="107" spans="3:9" x14ac:dyDescent="0.25">
      <c r="C107" s="1">
        <v>44409</v>
      </c>
      <c r="D107">
        <v>21443.200000000001</v>
      </c>
      <c r="E107">
        <f t="shared" si="7"/>
        <v>22446.864182059628</v>
      </c>
      <c r="F107">
        <f t="shared" si="8"/>
        <v>1056.3731861960759</v>
      </c>
      <c r="G107">
        <f t="shared" si="9"/>
        <v>0.9382485598879382</v>
      </c>
      <c r="H107">
        <f t="shared" si="10"/>
        <v>22017.471403365016</v>
      </c>
      <c r="I107">
        <f t="shared" si="11"/>
        <v>-574.27140336501543</v>
      </c>
    </row>
    <row r="108" spans="3:9" x14ac:dyDescent="0.25">
      <c r="C108" s="1">
        <v>44440</v>
      </c>
      <c r="D108">
        <v>20618.8</v>
      </c>
      <c r="E108">
        <f t="shared" si="7"/>
        <v>22308.792996647979</v>
      </c>
      <c r="F108">
        <f t="shared" si="8"/>
        <v>817.48431187453104</v>
      </c>
      <c r="G108">
        <f t="shared" si="9"/>
        <v>0.93176894740684146</v>
      </c>
      <c r="H108">
        <f t="shared" si="10"/>
        <v>23000.370415539051</v>
      </c>
      <c r="I108">
        <f t="shared" si="11"/>
        <v>-2381.5704155390522</v>
      </c>
    </row>
    <row r="109" spans="3:9" x14ac:dyDescent="0.25">
      <c r="C109" s="1">
        <v>44470</v>
      </c>
      <c r="D109">
        <v>22091</v>
      </c>
      <c r="E109">
        <f t="shared" si="7"/>
        <v>22394.79857053786</v>
      </c>
      <c r="F109">
        <f t="shared" si="8"/>
        <v>671.18856427760102</v>
      </c>
      <c r="G109">
        <f t="shared" si="9"/>
        <v>0.99130717250883049</v>
      </c>
      <c r="H109">
        <f t="shared" si="10"/>
        <v>23306.067331360056</v>
      </c>
      <c r="I109">
        <f t="shared" si="11"/>
        <v>-1215.0673313600564</v>
      </c>
    </row>
    <row r="110" spans="3:9" x14ac:dyDescent="0.25">
      <c r="C110" s="1">
        <v>44501</v>
      </c>
      <c r="D110">
        <v>22845.4</v>
      </c>
      <c r="E110">
        <f t="shared" si="7"/>
        <v>22701.249606599944</v>
      </c>
      <c r="F110">
        <f t="shared" si="8"/>
        <v>598.24105863449768</v>
      </c>
      <c r="G110">
        <f t="shared" si="9"/>
        <v>1.0087849997960148</v>
      </c>
      <c r="H110">
        <f t="shared" si="10"/>
        <v>25247.18691983298</v>
      </c>
      <c r="I110">
        <f t="shared" si="11"/>
        <v>-2401.786919832979</v>
      </c>
    </row>
    <row r="111" spans="3:9" ht="15.75" thickBot="1" x14ac:dyDescent="0.3">
      <c r="C111" s="1">
        <v>44531</v>
      </c>
      <c r="D111">
        <v>22357.7</v>
      </c>
      <c r="E111">
        <f t="shared" si="7"/>
        <v>21166.228889029844</v>
      </c>
      <c r="F111">
        <f t="shared" si="8"/>
        <v>171.58870339357821</v>
      </c>
      <c r="G111">
        <f t="shared" si="9"/>
        <v>1.0726728199630944</v>
      </c>
      <c r="H111">
        <f t="shared" si="10"/>
        <v>21817.724113647102</v>
      </c>
      <c r="I111">
        <f t="shared" si="11"/>
        <v>539.97588635289867</v>
      </c>
    </row>
    <row r="112" spans="3:9" ht="15.75" thickBot="1" x14ac:dyDescent="0.3">
      <c r="C112" s="1">
        <v>44562</v>
      </c>
      <c r="D112" s="17">
        <v>19143.2</v>
      </c>
      <c r="E112">
        <f t="shared" si="7"/>
        <v>19245.261746129883</v>
      </c>
      <c r="F112">
        <f t="shared" si="8"/>
        <v>-246.92246586512962</v>
      </c>
      <c r="G112">
        <f t="shared" si="9"/>
        <v>1.0113732486673914</v>
      </c>
      <c r="H112">
        <f t="shared" si="10"/>
        <v>18953.691688611347</v>
      </c>
      <c r="I112">
        <f t="shared" si="11"/>
        <v>189.50831138865396</v>
      </c>
    </row>
    <row r="113" spans="3:12" ht="15.75" thickBot="1" x14ac:dyDescent="0.3">
      <c r="C113" s="1">
        <v>44593</v>
      </c>
      <c r="D113" s="17">
        <v>20489.099999999999</v>
      </c>
      <c r="E113">
        <f t="shared" si="7"/>
        <v>20229.559393485331</v>
      </c>
      <c r="F113">
        <f t="shared" si="8"/>
        <v>-0.67844322101407784</v>
      </c>
      <c r="G113">
        <f t="shared" si="9"/>
        <v>1.0037218610491476</v>
      </c>
      <c r="H113">
        <f t="shared" si="10"/>
        <v>21064.71322850353</v>
      </c>
      <c r="I113">
        <f t="shared" si="11"/>
        <v>-575.61322850353099</v>
      </c>
    </row>
    <row r="114" spans="3:12" ht="15.75" thickBot="1" x14ac:dyDescent="0.3">
      <c r="C114" s="1">
        <v>44621</v>
      </c>
      <c r="D114" s="17">
        <v>26586.7</v>
      </c>
      <c r="E114">
        <f t="shared" si="7"/>
        <v>24471.183678919966</v>
      </c>
      <c r="F114">
        <f t="shared" si="8"/>
        <v>847.78210251011569</v>
      </c>
      <c r="G114">
        <f t="shared" si="9"/>
        <v>1.0593709698543108</v>
      </c>
      <c r="H114">
        <f t="shared" si="10"/>
        <v>24409.201192561632</v>
      </c>
      <c r="I114">
        <f t="shared" si="11"/>
        <v>2177.4988074383691</v>
      </c>
    </row>
    <row r="115" spans="3:12" ht="15.75" thickBot="1" x14ac:dyDescent="0.3">
      <c r="C115" s="1">
        <v>44652</v>
      </c>
      <c r="D115" s="17">
        <v>27316.2</v>
      </c>
      <c r="E115">
        <f t="shared" si="7"/>
        <v>27731.243110837135</v>
      </c>
      <c r="F115">
        <f t="shared" si="8"/>
        <v>1330.2375683915263</v>
      </c>
      <c r="G115">
        <f t="shared" si="9"/>
        <v>0.97245406689211056</v>
      </c>
      <c r="H115">
        <f t="shared" si="10"/>
        <v>29309.325940033796</v>
      </c>
      <c r="I115">
        <f t="shared" si="11"/>
        <v>-1993.1259400337949</v>
      </c>
    </row>
    <row r="116" spans="3:12" ht="15.75" thickBot="1" x14ac:dyDescent="0.3">
      <c r="C116" s="1">
        <v>44682</v>
      </c>
      <c r="D116" s="17">
        <v>21493.3</v>
      </c>
      <c r="E116">
        <f t="shared" si="7"/>
        <v>22861.534974318867</v>
      </c>
      <c r="F116">
        <f t="shared" si="8"/>
        <v>90.248427409567512</v>
      </c>
      <c r="G116">
        <f t="shared" si="9"/>
        <v>0.98117747290380131</v>
      </c>
      <c r="H116">
        <f t="shared" si="10"/>
        <v>22588.007295574109</v>
      </c>
      <c r="I116">
        <f t="shared" si="11"/>
        <v>-1094.7072955741096</v>
      </c>
    </row>
    <row r="117" spans="3:12" ht="15.75" thickBot="1" x14ac:dyDescent="0.3">
      <c r="C117" s="1">
        <v>44713</v>
      </c>
      <c r="D117" s="17">
        <v>26141</v>
      </c>
      <c r="E117">
        <f t="shared" si="7"/>
        <v>25839.95385121763</v>
      </c>
      <c r="F117">
        <f t="shared" si="8"/>
        <v>667.8825173074066</v>
      </c>
      <c r="G117">
        <f t="shared" si="9"/>
        <v>0.99515041797403081</v>
      </c>
      <c r="H117">
        <f t="shared" si="10"/>
        <v>26750.253129643967</v>
      </c>
      <c r="I117">
        <f t="shared" si="11"/>
        <v>-609.25312964396653</v>
      </c>
    </row>
    <row r="118" spans="3:12" ht="15.75" thickBot="1" x14ac:dyDescent="0.3">
      <c r="C118" s="1">
        <v>44743</v>
      </c>
      <c r="D118" s="17">
        <v>25473.4</v>
      </c>
      <c r="E118">
        <f t="shared" si="7"/>
        <v>25495.610767123653</v>
      </c>
      <c r="F118">
        <f t="shared" si="8"/>
        <v>465.43739702713009</v>
      </c>
      <c r="G118">
        <f t="shared" si="9"/>
        <v>1.0051385946243956</v>
      </c>
      <c r="H118">
        <f t="shared" si="10"/>
        <v>24357.916053195873</v>
      </c>
      <c r="I118">
        <f t="shared" si="11"/>
        <v>1115.4839468041282</v>
      </c>
    </row>
    <row r="119" spans="3:12" ht="15.75" thickBot="1" x14ac:dyDescent="0.3">
      <c r="C119" s="1">
        <v>44774</v>
      </c>
      <c r="D119" s="17">
        <v>27928.7</v>
      </c>
      <c r="E119">
        <f t="shared" si="7"/>
        <v>29005.686098670489</v>
      </c>
      <c r="F119">
        <f t="shared" si="8"/>
        <v>1074.3649839310713</v>
      </c>
      <c r="G119">
        <f t="shared" si="9"/>
        <v>0.9480970673417034</v>
      </c>
      <c r="H119">
        <f t="shared" si="10"/>
        <v>28027.657535179678</v>
      </c>
      <c r="I119">
        <f t="shared" si="11"/>
        <v>-98.957535179677507</v>
      </c>
    </row>
    <row r="120" spans="3:12" ht="15.75" thickBot="1" x14ac:dyDescent="0.3">
      <c r="C120" s="1">
        <v>44805</v>
      </c>
      <c r="D120" s="17">
        <v>24764.5</v>
      </c>
      <c r="E120">
        <f t="shared" si="7"/>
        <v>27278.362922238452</v>
      </c>
      <c r="F120">
        <f t="shared" si="8"/>
        <v>514.02735185844961</v>
      </c>
      <c r="G120">
        <f t="shared" si="9"/>
        <v>0.92219899617631684</v>
      </c>
      <c r="H120">
        <f t="shared" si="10"/>
        <v>27550.795819876919</v>
      </c>
      <c r="I120">
        <f t="shared" si="11"/>
        <v>-2786.2958198769193</v>
      </c>
    </row>
    <row r="121" spans="3:12" ht="15.75" thickBot="1" x14ac:dyDescent="0.3">
      <c r="C121" s="1">
        <v>44835</v>
      </c>
      <c r="D121" s="17">
        <v>24726.3</v>
      </c>
      <c r="E121">
        <f t="shared" si="7"/>
        <v>25512.979089990484</v>
      </c>
      <c r="F121">
        <f t="shared" si="8"/>
        <v>58.145115037166079</v>
      </c>
      <c r="G121">
        <f t="shared" si="9"/>
        <v>0.98245051704757924</v>
      </c>
      <c r="H121">
        <f t="shared" si="10"/>
        <v>25795.766525952684</v>
      </c>
      <c r="I121">
        <f t="shared" si="11"/>
        <v>-1069.4665259526846</v>
      </c>
    </row>
    <row r="122" spans="3:12" ht="15.75" thickBot="1" x14ac:dyDescent="0.3">
      <c r="C122" s="1">
        <v>44866</v>
      </c>
      <c r="D122" s="17">
        <v>24059.1</v>
      </c>
      <c r="E122">
        <f t="shared" si="7"/>
        <v>24193.889986593509</v>
      </c>
      <c r="F122">
        <f t="shared" si="8"/>
        <v>-217.3017286496621</v>
      </c>
      <c r="G122">
        <f t="shared" si="9"/>
        <v>1.0030425035643957</v>
      </c>
      <c r="H122">
        <f t="shared" si="10"/>
        <v>25719.034539742643</v>
      </c>
      <c r="I122">
        <f t="shared" si="11"/>
        <v>-1659.9345397426441</v>
      </c>
      <c r="J122" t="s">
        <v>119</v>
      </c>
    </row>
    <row r="123" spans="3:12" x14ac:dyDescent="0.25">
      <c r="C123" s="1">
        <v>44896</v>
      </c>
      <c r="D123" s="20">
        <v>23782.7</v>
      </c>
      <c r="E123" s="7">
        <f>$M$6*(D123/G111)+(1-$M$6)*(E122+F122)</f>
        <v>22532.468855489507</v>
      </c>
      <c r="F123" s="7">
        <f t="shared" si="8"/>
        <v>-506.12560914053006</v>
      </c>
      <c r="G123" s="7">
        <f t="shared" si="9"/>
        <v>1.0657979957184502</v>
      </c>
      <c r="H123" s="21">
        <f>($E$122+$F$122*J123)*G111</f>
        <v>25719.034539742643</v>
      </c>
      <c r="I123" s="7">
        <f t="shared" si="11"/>
        <v>-1936.3345397426419</v>
      </c>
      <c r="J123">
        <v>1</v>
      </c>
      <c r="L123" s="24"/>
    </row>
    <row r="124" spans="3:12" x14ac:dyDescent="0.25">
      <c r="C124" s="1">
        <v>44927</v>
      </c>
      <c r="D124" s="7">
        <v>22320.7</v>
      </c>
      <c r="E124" s="7">
        <f t="shared" si="7"/>
        <v>22061.025338037482</v>
      </c>
      <c r="F124" s="7">
        <f t="shared" si="8"/>
        <v>-499.18919080282922</v>
      </c>
      <c r="G124" s="7">
        <f t="shared" si="9"/>
        <v>1.0115322464438052</v>
      </c>
      <c r="H124" s="21">
        <f t="shared" ref="H124:H135" si="12">($E$122+$F$122*J124)*G112</f>
        <v>24029.506803151653</v>
      </c>
      <c r="I124" s="7">
        <f t="shared" si="11"/>
        <v>-1708.8068031516523</v>
      </c>
      <c r="J124">
        <v>2</v>
      </c>
      <c r="L124" s="24"/>
    </row>
    <row r="125" spans="3:12" x14ac:dyDescent="0.25">
      <c r="C125" s="1">
        <v>44958</v>
      </c>
      <c r="D125" s="7">
        <v>21319.7</v>
      </c>
      <c r="E125" s="7">
        <f t="shared" si="7"/>
        <v>21304.883445216448</v>
      </c>
      <c r="F125" s="7">
        <f t="shared" si="8"/>
        <v>-550.57973120647011</v>
      </c>
      <c r="G125" s="7">
        <f t="shared" si="9"/>
        <v>1.0025112980111732</v>
      </c>
      <c r="H125" s="21">
        <f t="shared" si="12"/>
        <v>23629.604796893669</v>
      </c>
      <c r="I125" s="7">
        <f t="shared" si="11"/>
        <v>-2309.9047968936684</v>
      </c>
      <c r="J125">
        <v>3</v>
      </c>
      <c r="L125" s="24"/>
    </row>
    <row r="126" spans="3:12" x14ac:dyDescent="0.25">
      <c r="C126" s="1">
        <v>44986</v>
      </c>
      <c r="D126" s="7">
        <v>23413.9</v>
      </c>
      <c r="E126" s="7">
        <f t="shared" si="7"/>
        <v>21832.221222763026</v>
      </c>
      <c r="F126" s="7">
        <f t="shared" si="8"/>
        <v>-334.99622945586054</v>
      </c>
      <c r="G126" s="7">
        <f t="shared" si="9"/>
        <v>1.0646013790967752</v>
      </c>
      <c r="H126" s="21">
        <f t="shared" si="12"/>
        <v>24709.492127523619</v>
      </c>
      <c r="I126" s="7">
        <f t="shared" si="11"/>
        <v>-1295.5921275236178</v>
      </c>
      <c r="J126">
        <v>4</v>
      </c>
      <c r="L126" s="24"/>
    </row>
    <row r="127" spans="3:12" x14ac:dyDescent="0.25">
      <c r="C127" s="1">
        <v>45017</v>
      </c>
      <c r="D127" s="7">
        <v>19280.400000000001</v>
      </c>
      <c r="E127" s="7">
        <f t="shared" si="7"/>
        <v>20160.67744668333</v>
      </c>
      <c r="F127" s="7">
        <f t="shared" si="8"/>
        <v>-602.30573878062762</v>
      </c>
      <c r="G127" s="7">
        <f t="shared" si="9"/>
        <v>0.96600720467358503</v>
      </c>
      <c r="H127" s="21">
        <f t="shared" si="12"/>
        <v>22470.866962562919</v>
      </c>
      <c r="I127" s="7">
        <f t="shared" si="11"/>
        <v>-3190.4669625629176</v>
      </c>
      <c r="J127">
        <v>5</v>
      </c>
      <c r="L127" s="24"/>
    </row>
    <row r="128" spans="3:12" x14ac:dyDescent="0.25">
      <c r="C128" s="1">
        <v>45047</v>
      </c>
      <c r="D128" s="7">
        <v>21706.5</v>
      </c>
      <c r="E128" s="7">
        <f t="shared" si="7"/>
        <v>21610.001585690185</v>
      </c>
      <c r="F128" s="7">
        <f t="shared" si="8"/>
        <v>-191.97976322313127</v>
      </c>
      <c r="G128" s="7">
        <f t="shared" si="9"/>
        <v>0.99049266434809269</v>
      </c>
      <c r="H128" s="21">
        <f t="shared" si="12"/>
        <v>22459.230470913782</v>
      </c>
      <c r="I128" s="7">
        <f t="shared" si="11"/>
        <v>-752.73047091378248</v>
      </c>
      <c r="J128">
        <v>6</v>
      </c>
      <c r="L128" s="24"/>
    </row>
    <row r="129" spans="2:12" x14ac:dyDescent="0.25">
      <c r="C129" s="1">
        <v>45078</v>
      </c>
      <c r="D129" s="7">
        <v>20599</v>
      </c>
      <c r="E129" s="7">
        <f t="shared" si="7"/>
        <v>20843.111050476673</v>
      </c>
      <c r="F129" s="7">
        <f t="shared" si="8"/>
        <v>-306.96191762120736</v>
      </c>
      <c r="G129" s="7">
        <f t="shared" si="9"/>
        <v>0.99240551730321225</v>
      </c>
      <c r="H129" s="21">
        <f t="shared" si="12"/>
        <v>22562.824389930916</v>
      </c>
      <c r="I129" s="7">
        <f t="shared" si="11"/>
        <v>-1963.8243899309164</v>
      </c>
      <c r="J129">
        <v>7</v>
      </c>
      <c r="L129" s="24"/>
    </row>
    <row r="130" spans="2:12" x14ac:dyDescent="0.25">
      <c r="C130" s="1">
        <v>45108</v>
      </c>
      <c r="D130" s="7">
        <v>20861.3</v>
      </c>
      <c r="E130" s="7">
        <f t="shared" si="7"/>
        <v>20710.950039141808</v>
      </c>
      <c r="F130" s="7">
        <f t="shared" si="8"/>
        <v>-272.0017363639389</v>
      </c>
      <c r="G130" s="7">
        <f t="shared" si="9"/>
        <v>1.0059869339663943</v>
      </c>
      <c r="H130" s="21">
        <f t="shared" si="12"/>
        <v>22570.865746466854</v>
      </c>
      <c r="I130" s="7">
        <f t="shared" si="11"/>
        <v>-1709.5657464668548</v>
      </c>
      <c r="J130">
        <v>8</v>
      </c>
      <c r="L130" s="24"/>
    </row>
    <row r="131" spans="2:12" x14ac:dyDescent="0.25">
      <c r="C131" s="1">
        <v>45139</v>
      </c>
      <c r="D131" s="7">
        <v>21996.3</v>
      </c>
      <c r="E131" s="7">
        <f t="shared" si="7"/>
        <v>22648.167712709019</v>
      </c>
      <c r="F131" s="7">
        <f t="shared" si="8"/>
        <v>169.84214562229107</v>
      </c>
      <c r="G131" s="7">
        <f t="shared" si="9"/>
        <v>0.95734529647105027</v>
      </c>
      <c r="H131" s="21">
        <f t="shared" si="12"/>
        <v>21083.947958927867</v>
      </c>
      <c r="I131" s="7">
        <f t="shared" si="11"/>
        <v>912.35204107213212</v>
      </c>
      <c r="J131">
        <v>9</v>
      </c>
      <c r="L131" s="24"/>
    </row>
    <row r="132" spans="2:12" x14ac:dyDescent="0.25">
      <c r="C132" s="1">
        <v>45170</v>
      </c>
      <c r="D132" s="7">
        <v>20744.900000000001</v>
      </c>
      <c r="E132" s="7">
        <f t="shared" si="7"/>
        <v>22559.631102917883</v>
      </c>
      <c r="F132" s="7">
        <f t="shared" si="8"/>
        <v>118.16639453960576</v>
      </c>
      <c r="G132" s="7">
        <f t="shared" si="9"/>
        <v>0.9211427881745613</v>
      </c>
      <c r="H132" s="21">
        <f t="shared" si="12"/>
        <v>20307.62669895581</v>
      </c>
      <c r="I132" s="7">
        <f t="shared" si="11"/>
        <v>437.27330104419161</v>
      </c>
      <c r="J132">
        <v>10</v>
      </c>
      <c r="L132" s="24"/>
    </row>
    <row r="133" spans="2:12" x14ac:dyDescent="0.25">
      <c r="C133" s="1">
        <v>45200</v>
      </c>
      <c r="D133" s="7">
        <v>22144.5</v>
      </c>
      <c r="E133" s="7">
        <f t="shared" si="7"/>
        <v>22567.612709904792</v>
      </c>
      <c r="F133" s="7">
        <f t="shared" si="8"/>
        <v>96.129437029066295</v>
      </c>
      <c r="G133" s="7">
        <f t="shared" si="9"/>
        <v>0.98197084246749211</v>
      </c>
      <c r="H133" s="21">
        <f t="shared" si="12"/>
        <v>21420.929574381917</v>
      </c>
      <c r="I133" s="7">
        <f t="shared" si="11"/>
        <v>723.57042561808339</v>
      </c>
      <c r="J133">
        <v>11</v>
      </c>
      <c r="L133" s="24"/>
    </row>
    <row r="134" spans="2:12" x14ac:dyDescent="0.25">
      <c r="C134" s="1">
        <v>45231</v>
      </c>
      <c r="D134" s="7">
        <v>21995.9</v>
      </c>
      <c r="E134" s="7">
        <f t="shared" si="7"/>
        <v>22076.09274178488</v>
      </c>
      <c r="F134" s="7">
        <f t="shared" si="8"/>
        <v>-21.400444000729351</v>
      </c>
      <c r="G134" s="7">
        <f t="shared" si="9"/>
        <v>1.0003724779513801</v>
      </c>
      <c r="H134" s="21">
        <f t="shared" si="12"/>
        <v>21651.945543910781</v>
      </c>
      <c r="I134" s="7">
        <f t="shared" si="11"/>
        <v>343.95445608922091</v>
      </c>
      <c r="J134">
        <v>12</v>
      </c>
      <c r="L134" s="24"/>
    </row>
    <row r="135" spans="2:12" x14ac:dyDescent="0.25">
      <c r="C135" s="1">
        <v>45261</v>
      </c>
      <c r="D135" s="7">
        <v>22391.200000000001</v>
      </c>
      <c r="E135" s="7">
        <f t="shared" si="7"/>
        <v>21218.025798771559</v>
      </c>
      <c r="F135" s="7">
        <f t="shared" si="8"/>
        <v>-188.73374380324753</v>
      </c>
      <c r="G135" s="7">
        <f t="shared" si="9"/>
        <v>1.0615953545953349</v>
      </c>
      <c r="H135" s="21">
        <f t="shared" si="12"/>
        <v>22775.00274715151</v>
      </c>
      <c r="I135" s="7">
        <f t="shared" si="11"/>
        <v>-383.80274715150881</v>
      </c>
      <c r="J135">
        <v>13</v>
      </c>
      <c r="L135" s="24"/>
    </row>
    <row r="138" spans="2:12" x14ac:dyDescent="0.25">
      <c r="B138" t="s">
        <v>157</v>
      </c>
      <c r="C138" s="22" t="s">
        <v>154</v>
      </c>
      <c r="D138" t="s">
        <v>156</v>
      </c>
    </row>
    <row r="139" spans="2:12" x14ac:dyDescent="0.25">
      <c r="B139">
        <v>1</v>
      </c>
      <c r="C139" t="s">
        <v>43</v>
      </c>
      <c r="D139" s="24">
        <f>($E$135+$F$135*B139)*G124</f>
        <v>21271.807033484962</v>
      </c>
    </row>
    <row r="140" spans="2:12" x14ac:dyDescent="0.25">
      <c r="B140">
        <v>2</v>
      </c>
      <c r="C140" t="s">
        <v>44</v>
      </c>
      <c r="D140" s="24">
        <f t="shared" ref="D140:D150" si="13">($E$135+$F$135*B140)*G125</f>
        <v>20892.895163803631</v>
      </c>
    </row>
    <row r="141" spans="2:12" x14ac:dyDescent="0.25">
      <c r="B141">
        <v>3</v>
      </c>
      <c r="C141" t="s">
        <v>45</v>
      </c>
      <c r="D141" s="24">
        <f t="shared" si="13"/>
        <v>21985.960915278054</v>
      </c>
    </row>
    <row r="142" spans="2:12" x14ac:dyDescent="0.25">
      <c r="B142">
        <v>4</v>
      </c>
      <c r="C142" t="s">
        <v>46</v>
      </c>
      <c r="D142" s="24">
        <f t="shared" si="13"/>
        <v>19767.493165447504</v>
      </c>
    </row>
    <row r="143" spans="2:12" x14ac:dyDescent="0.25">
      <c r="B143">
        <v>5</v>
      </c>
      <c r="C143" t="s">
        <v>47</v>
      </c>
      <c r="D143" s="24">
        <f t="shared" si="13"/>
        <v>20081.601961871464</v>
      </c>
    </row>
    <row r="144" spans="2:12" x14ac:dyDescent="0.25">
      <c r="B144">
        <v>6</v>
      </c>
      <c r="C144" t="s">
        <v>48</v>
      </c>
      <c r="D144" s="24">
        <f t="shared" si="13"/>
        <v>19933.08341707299</v>
      </c>
    </row>
    <row r="145" spans="2:4" x14ac:dyDescent="0.25">
      <c r="B145">
        <v>7</v>
      </c>
      <c r="C145" t="s">
        <v>49</v>
      </c>
      <c r="D145" s="24">
        <f t="shared" si="13"/>
        <v>20016.010956273658</v>
      </c>
    </row>
    <row r="146" spans="2:4" x14ac:dyDescent="0.25">
      <c r="B146">
        <v>8</v>
      </c>
      <c r="C146" t="s">
        <v>50</v>
      </c>
      <c r="D146" s="24">
        <f t="shared" si="13"/>
        <v>18867.510303532064</v>
      </c>
    </row>
    <row r="147" spans="2:4" x14ac:dyDescent="0.25">
      <c r="B147">
        <v>9</v>
      </c>
      <c r="C147" t="s">
        <v>51</v>
      </c>
      <c r="D147" s="24">
        <f t="shared" si="13"/>
        <v>17980.174900934289</v>
      </c>
    </row>
    <row r="148" spans="2:4" x14ac:dyDescent="0.25">
      <c r="B148">
        <v>10</v>
      </c>
      <c r="C148" t="s">
        <v>52</v>
      </c>
      <c r="D148" s="24">
        <f t="shared" si="13"/>
        <v>18982.172335071504</v>
      </c>
    </row>
    <row r="149" spans="2:4" x14ac:dyDescent="0.25">
      <c r="B149">
        <v>11</v>
      </c>
      <c r="C149" t="s">
        <v>53</v>
      </c>
      <c r="D149" s="24">
        <f t="shared" si="13"/>
        <v>19149.084572976964</v>
      </c>
    </row>
    <row r="150" spans="2:4" x14ac:dyDescent="0.25">
      <c r="B150">
        <v>12</v>
      </c>
      <c r="C150" t="s">
        <v>155</v>
      </c>
      <c r="D150" s="24">
        <f t="shared" si="13"/>
        <v>20120.651233536893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O151"/>
  <sheetViews>
    <sheetView topLeftCell="E121" zoomScaleNormal="100" workbookViewId="0">
      <selection activeCell="H124" sqref="H124"/>
    </sheetView>
  </sheetViews>
  <sheetFormatPr defaultRowHeight="15" x14ac:dyDescent="0.25"/>
  <cols>
    <col min="5" max="5" width="9.5703125" bestFit="1" customWidth="1"/>
    <col min="6" max="6" width="11.28515625" bestFit="1" customWidth="1"/>
    <col min="15" max="15" width="9.5703125" bestFit="1" customWidth="1"/>
  </cols>
  <sheetData>
    <row r="4" spans="1:15" x14ac:dyDescent="0.25">
      <c r="B4" t="s">
        <v>0</v>
      </c>
      <c r="C4" t="s">
        <v>1</v>
      </c>
      <c r="D4" t="s">
        <v>120</v>
      </c>
      <c r="E4" t="s">
        <v>122</v>
      </c>
      <c r="F4" t="s">
        <v>123</v>
      </c>
      <c r="G4" t="s">
        <v>124</v>
      </c>
      <c r="H4" t="s">
        <v>143</v>
      </c>
      <c r="I4" t="s">
        <v>125</v>
      </c>
      <c r="J4" t="s">
        <v>142</v>
      </c>
      <c r="K4" t="s">
        <v>116</v>
      </c>
      <c r="L4">
        <v>0.9</v>
      </c>
    </row>
    <row r="5" spans="1:15" x14ac:dyDescent="0.25">
      <c r="B5" s="1">
        <v>41275</v>
      </c>
      <c r="C5">
        <v>15375.5</v>
      </c>
      <c r="D5">
        <f>C17-C5</f>
        <v>-903.20000000000073</v>
      </c>
      <c r="H5" s="16">
        <f>C5-$E$16</f>
        <v>162.84166666666897</v>
      </c>
      <c r="J5" s="16">
        <f>C5/$E$16</f>
        <v>1.0107043531182094</v>
      </c>
      <c r="K5" t="s">
        <v>117</v>
      </c>
      <c r="L5">
        <v>0.2</v>
      </c>
    </row>
    <row r="6" spans="1:15" x14ac:dyDescent="0.25">
      <c r="B6" s="1">
        <v>41306</v>
      </c>
      <c r="C6">
        <v>15015.6</v>
      </c>
      <c r="D6">
        <f t="shared" ref="D6:D16" si="0">C18-C6</f>
        <v>-381.5</v>
      </c>
      <c r="H6" s="16">
        <f t="shared" ref="H6:H16" si="1">C6-$E$16</f>
        <v>-197.05833333333067</v>
      </c>
      <c r="J6" s="16">
        <f t="shared" ref="J6:J16" si="2">C6/$E$16</f>
        <v>0.98704642351024574</v>
      </c>
      <c r="K6" t="s">
        <v>118</v>
      </c>
      <c r="L6">
        <v>0.5</v>
      </c>
    </row>
    <row r="7" spans="1:15" x14ac:dyDescent="0.25">
      <c r="B7" s="1">
        <v>41334</v>
      </c>
      <c r="C7">
        <v>15024.6</v>
      </c>
      <c r="D7">
        <f t="shared" si="0"/>
        <v>168</v>
      </c>
      <c r="H7" s="16">
        <f t="shared" si="1"/>
        <v>-188.05833333333067</v>
      </c>
      <c r="J7" s="16">
        <f t="shared" si="2"/>
        <v>0.98763803608727174</v>
      </c>
    </row>
    <row r="8" spans="1:15" x14ac:dyDescent="0.25">
      <c r="B8" s="1">
        <v>41365</v>
      </c>
      <c r="C8">
        <v>14760.9</v>
      </c>
      <c r="D8">
        <f t="shared" si="0"/>
        <v>-468.39999999999964</v>
      </c>
      <c r="H8" s="16">
        <f t="shared" si="1"/>
        <v>-451.75833333333139</v>
      </c>
      <c r="J8" s="16">
        <f t="shared" si="2"/>
        <v>0.97030378758040881</v>
      </c>
    </row>
    <row r="9" spans="1:15" x14ac:dyDescent="0.25">
      <c r="B9" s="1">
        <v>41395</v>
      </c>
      <c r="C9">
        <v>16133.4</v>
      </c>
      <c r="D9">
        <f t="shared" si="0"/>
        <v>-1309.7999999999993</v>
      </c>
      <c r="H9" s="16">
        <f t="shared" si="1"/>
        <v>920.74166666666861</v>
      </c>
      <c r="J9" s="16">
        <f t="shared" si="2"/>
        <v>1.0605247055768798</v>
      </c>
      <c r="K9" s="18" t="s">
        <v>126</v>
      </c>
      <c r="N9" s="18" t="s">
        <v>126</v>
      </c>
    </row>
    <row r="10" spans="1:15" x14ac:dyDescent="0.25">
      <c r="B10" s="1">
        <v>41426</v>
      </c>
      <c r="C10">
        <v>14758.8</v>
      </c>
      <c r="D10">
        <f t="shared" si="0"/>
        <v>650.70000000000073</v>
      </c>
      <c r="H10" s="16">
        <f t="shared" si="1"/>
        <v>-453.85833333333176</v>
      </c>
      <c r="J10" s="16">
        <f t="shared" si="2"/>
        <v>0.97016574464576932</v>
      </c>
      <c r="K10" s="18" t="s">
        <v>127</v>
      </c>
      <c r="N10" s="18" t="s">
        <v>144</v>
      </c>
    </row>
    <row r="11" spans="1:15" x14ac:dyDescent="0.25">
      <c r="B11" s="1">
        <v>41456</v>
      </c>
      <c r="C11">
        <v>15087.9</v>
      </c>
      <c r="D11">
        <f t="shared" si="0"/>
        <v>-963.79999999999927</v>
      </c>
      <c r="H11" s="16">
        <f t="shared" si="1"/>
        <v>-124.75833333333139</v>
      </c>
      <c r="J11" s="16">
        <f t="shared" si="2"/>
        <v>0.99179904454568824</v>
      </c>
      <c r="K11" s="18" t="s">
        <v>128</v>
      </c>
      <c r="L11">
        <v>23736.38204</v>
      </c>
      <c r="N11" s="18" t="s">
        <v>128</v>
      </c>
      <c r="O11" s="16">
        <v>24189.547951299999</v>
      </c>
    </row>
    <row r="12" spans="1:15" x14ac:dyDescent="0.25">
      <c r="B12" s="1">
        <v>41487</v>
      </c>
      <c r="C12">
        <v>13083.7</v>
      </c>
      <c r="D12">
        <f t="shared" si="0"/>
        <v>1397.8999999999996</v>
      </c>
      <c r="H12" s="16">
        <f t="shared" si="1"/>
        <v>-2128.9583333333303</v>
      </c>
      <c r="J12" s="16">
        <f t="shared" si="2"/>
        <v>0.86005349711506718</v>
      </c>
      <c r="K12" s="18" t="s">
        <v>129</v>
      </c>
      <c r="L12">
        <v>-236.65789000000001</v>
      </c>
      <c r="N12" s="18" t="s">
        <v>129</v>
      </c>
      <c r="O12" s="16">
        <v>-217.75800599999999</v>
      </c>
    </row>
    <row r="13" spans="1:15" x14ac:dyDescent="0.25">
      <c r="B13" s="1">
        <v>41518</v>
      </c>
      <c r="C13">
        <v>14706.8</v>
      </c>
      <c r="D13">
        <f t="shared" si="0"/>
        <v>569</v>
      </c>
      <c r="H13" s="16">
        <f t="shared" si="1"/>
        <v>-505.85833333333176</v>
      </c>
      <c r="J13" s="16">
        <f t="shared" si="2"/>
        <v>0.96674753864517438</v>
      </c>
      <c r="K13" s="18" t="s">
        <v>130</v>
      </c>
      <c r="L13">
        <v>1418.2191499999999</v>
      </c>
      <c r="N13" s="18" t="s">
        <v>130</v>
      </c>
      <c r="O13" s="16">
        <v>1.0726159</v>
      </c>
    </row>
    <row r="14" spans="1:15" x14ac:dyDescent="0.25">
      <c r="B14" s="1">
        <v>41548</v>
      </c>
      <c r="C14">
        <v>15698.3</v>
      </c>
      <c r="D14">
        <f t="shared" si="0"/>
        <v>-405.5</v>
      </c>
      <c r="H14" s="16">
        <f t="shared" si="1"/>
        <v>485.64166666666824</v>
      </c>
      <c r="J14" s="16">
        <f t="shared" si="2"/>
        <v>1.03192352421421</v>
      </c>
      <c r="K14" s="18" t="s">
        <v>131</v>
      </c>
      <c r="L14">
        <v>275.06977000000001</v>
      </c>
      <c r="N14" s="18" t="s">
        <v>131</v>
      </c>
      <c r="O14" s="16">
        <v>1.0114474</v>
      </c>
    </row>
    <row r="15" spans="1:15" x14ac:dyDescent="0.25">
      <c r="B15" s="1">
        <v>41579</v>
      </c>
      <c r="C15">
        <v>15938.6</v>
      </c>
      <c r="D15">
        <f t="shared" si="0"/>
        <v>-2393.8999999999996</v>
      </c>
      <c r="H15" s="16">
        <f t="shared" si="1"/>
        <v>725.94166666666933</v>
      </c>
      <c r="J15" s="16">
        <f t="shared" si="2"/>
        <v>1.0477195800208052</v>
      </c>
      <c r="K15" s="18" t="s">
        <v>132</v>
      </c>
      <c r="L15">
        <v>11.98142</v>
      </c>
      <c r="N15" s="18" t="s">
        <v>132</v>
      </c>
      <c r="O15" s="16">
        <v>1.0037574</v>
      </c>
    </row>
    <row r="16" spans="1:15" x14ac:dyDescent="0.25">
      <c r="A16" t="s">
        <v>121</v>
      </c>
      <c r="B16" s="1">
        <v>41609</v>
      </c>
      <c r="C16">
        <v>16967.8</v>
      </c>
      <c r="D16">
        <f t="shared" si="0"/>
        <v>-2531.5</v>
      </c>
      <c r="E16">
        <f>AVERAGE(C5:C16)</f>
        <v>15212.658333333331</v>
      </c>
      <c r="F16">
        <f>SUM(D5:D16)/12^2</f>
        <v>-45.638888888888879</v>
      </c>
      <c r="H16" s="16">
        <f t="shared" si="1"/>
        <v>1755.1416666666682</v>
      </c>
      <c r="J16" s="16">
        <f t="shared" si="2"/>
        <v>1.115373764940272</v>
      </c>
      <c r="K16" s="18" t="s">
        <v>133</v>
      </c>
      <c r="L16">
        <v>614.33684000000005</v>
      </c>
      <c r="N16" s="18" t="s">
        <v>133</v>
      </c>
      <c r="O16" s="16">
        <v>1.0595764999999999</v>
      </c>
    </row>
    <row r="17" spans="2:15" x14ac:dyDescent="0.25">
      <c r="B17" s="1">
        <v>41640</v>
      </c>
      <c r="C17">
        <v>14472.3</v>
      </c>
      <c r="E17" s="16">
        <f>$L$4*(C17-H5)+(1-$L$4)*(E16+F16)</f>
        <v>14395.21444444444</v>
      </c>
      <c r="F17" s="16">
        <f>$L$5*(E17-E16)+(1-$L$5)*F16</f>
        <v>-199.9998888888893</v>
      </c>
      <c r="H17" s="16">
        <f>$L$6*(C17-E17)+(1-$L$6)*H5</f>
        <v>119.96361111111401</v>
      </c>
      <c r="I17">
        <f>E16+F16*1+G17</f>
        <v>15167.019444444442</v>
      </c>
      <c r="K17" s="18" t="s">
        <v>134</v>
      </c>
      <c r="L17">
        <v>-554.01643000000001</v>
      </c>
      <c r="N17" s="18" t="s">
        <v>134</v>
      </c>
      <c r="O17" s="16">
        <v>0.97243939999999995</v>
      </c>
    </row>
    <row r="18" spans="2:15" x14ac:dyDescent="0.25">
      <c r="B18" s="1">
        <v>41671</v>
      </c>
      <c r="C18">
        <v>14634.1</v>
      </c>
      <c r="E18" s="16">
        <f t="shared" ref="E18:E81" si="3">$L$4*(C18-H6)+(1-$L$4)*(E17+F17)</f>
        <v>14767.563955555552</v>
      </c>
      <c r="F18" s="16">
        <f t="shared" ref="F18:F81" si="4">$L$5*(E18-E17)+(1-$L$5)*F17</f>
        <v>-85.530008888889157</v>
      </c>
      <c r="H18" s="16">
        <f t="shared" ref="H18:H81" si="5">$L$6*(C18-E18)+(1-$L$6)*H6</f>
        <v>-165.26114444444102</v>
      </c>
      <c r="I18">
        <f t="shared" ref="I18:I81" si="6">E17+F17*1+G18</f>
        <v>14195.214555555551</v>
      </c>
      <c r="K18" s="18" t="s">
        <v>135</v>
      </c>
      <c r="L18">
        <v>12.64856</v>
      </c>
      <c r="N18" s="18" t="s">
        <v>135</v>
      </c>
      <c r="O18" s="16">
        <v>0.98133020000000004</v>
      </c>
    </row>
    <row r="19" spans="2:15" x14ac:dyDescent="0.25">
      <c r="B19" s="1">
        <v>41699</v>
      </c>
      <c r="C19">
        <v>15192.6</v>
      </c>
      <c r="E19" s="16">
        <f t="shared" si="3"/>
        <v>15310.795894666664</v>
      </c>
      <c r="F19" s="16">
        <f t="shared" si="4"/>
        <v>40.222380711111143</v>
      </c>
      <c r="H19" s="16">
        <f t="shared" si="5"/>
        <v>-153.12711399999716</v>
      </c>
      <c r="I19">
        <f t="shared" si="6"/>
        <v>14682.033946666663</v>
      </c>
      <c r="K19" s="18" t="s">
        <v>136</v>
      </c>
      <c r="L19">
        <v>63.582999999999998</v>
      </c>
      <c r="N19" s="18" t="s">
        <v>136</v>
      </c>
      <c r="O19" s="16">
        <v>0.99518059999999997</v>
      </c>
    </row>
    <row r="20" spans="2:15" x14ac:dyDescent="0.25">
      <c r="B20" s="1">
        <v>41730</v>
      </c>
      <c r="C20">
        <v>14292.5</v>
      </c>
      <c r="E20" s="16">
        <f t="shared" si="3"/>
        <v>14804.934327537776</v>
      </c>
      <c r="F20" s="16">
        <f t="shared" si="4"/>
        <v>-68.994408856888697</v>
      </c>
      <c r="H20" s="16">
        <f t="shared" si="5"/>
        <v>-482.09633043555368</v>
      </c>
      <c r="I20">
        <f t="shared" si="6"/>
        <v>15351.018275377775</v>
      </c>
      <c r="K20" s="18" t="s">
        <v>137</v>
      </c>
      <c r="L20">
        <v>28.768930000000001</v>
      </c>
      <c r="N20" s="18" t="s">
        <v>137</v>
      </c>
      <c r="O20" s="16">
        <v>1.0052293000000001</v>
      </c>
    </row>
    <row r="21" spans="2:15" x14ac:dyDescent="0.25">
      <c r="B21" s="1">
        <v>41760</v>
      </c>
      <c r="C21">
        <v>14823.6</v>
      </c>
      <c r="E21" s="16">
        <f t="shared" si="3"/>
        <v>13986.166491868087</v>
      </c>
      <c r="F21" s="16">
        <f t="shared" si="4"/>
        <v>-218.94909421944874</v>
      </c>
      <c r="H21" s="16">
        <f t="shared" si="5"/>
        <v>879.0875873992909</v>
      </c>
      <c r="I21">
        <f t="shared" si="6"/>
        <v>14735.939918680888</v>
      </c>
      <c r="K21" s="18" t="s">
        <v>138</v>
      </c>
      <c r="L21">
        <v>-1081.1386399999999</v>
      </c>
      <c r="N21" s="18" t="s">
        <v>138</v>
      </c>
      <c r="O21" s="16">
        <v>0.94811590000000001</v>
      </c>
    </row>
    <row r="22" spans="2:15" x14ac:dyDescent="0.25">
      <c r="B22" s="1">
        <v>41791</v>
      </c>
      <c r="C22">
        <v>15409.5</v>
      </c>
      <c r="E22" s="16">
        <f t="shared" si="3"/>
        <v>15653.744239764863</v>
      </c>
      <c r="F22" s="16">
        <f t="shared" si="4"/>
        <v>158.35627420379615</v>
      </c>
      <c r="H22" s="16">
        <f t="shared" si="5"/>
        <v>-349.05128654909731</v>
      </c>
      <c r="I22">
        <f t="shared" si="6"/>
        <v>13767.217397648639</v>
      </c>
      <c r="K22" s="18" t="s">
        <v>139</v>
      </c>
      <c r="L22">
        <v>-1244.2633699999999</v>
      </c>
      <c r="N22" s="18" t="s">
        <v>139</v>
      </c>
      <c r="O22" s="16">
        <v>0.92230679999999998</v>
      </c>
    </row>
    <row r="23" spans="2:15" x14ac:dyDescent="0.25">
      <c r="B23" s="1">
        <v>41821</v>
      </c>
      <c r="C23">
        <v>14124.1</v>
      </c>
      <c r="E23" s="16">
        <f t="shared" si="3"/>
        <v>14405.182551396863</v>
      </c>
      <c r="F23" s="16">
        <f t="shared" si="4"/>
        <v>-123.02731831056298</v>
      </c>
      <c r="H23" s="16">
        <f t="shared" si="5"/>
        <v>-202.92044236509719</v>
      </c>
      <c r="I23">
        <f t="shared" si="6"/>
        <v>15812.100513968659</v>
      </c>
      <c r="K23" s="18" t="s">
        <v>140</v>
      </c>
      <c r="L23">
        <v>21.551680000000001</v>
      </c>
      <c r="N23" s="18" t="s">
        <v>140</v>
      </c>
      <c r="O23" s="16">
        <v>0.98256379999999999</v>
      </c>
    </row>
    <row r="24" spans="2:15" x14ac:dyDescent="0.25">
      <c r="B24" s="1">
        <v>41852</v>
      </c>
      <c r="C24">
        <v>14481.6</v>
      </c>
      <c r="E24" s="16">
        <f t="shared" si="3"/>
        <v>16377.718023308629</v>
      </c>
      <c r="F24" s="16">
        <f t="shared" si="4"/>
        <v>296.08523973390282</v>
      </c>
      <c r="H24" s="16">
        <f t="shared" si="5"/>
        <v>-2012.5381783209796</v>
      </c>
      <c r="I24">
        <f t="shared" si="6"/>
        <v>14282.1552330863</v>
      </c>
      <c r="K24" s="19" t="s">
        <v>141</v>
      </c>
      <c r="L24">
        <v>380.20202</v>
      </c>
      <c r="N24" s="19" t="s">
        <v>141</v>
      </c>
      <c r="O24" s="16">
        <v>1.0032318</v>
      </c>
    </row>
    <row r="25" spans="2:15" x14ac:dyDescent="0.25">
      <c r="B25" s="1">
        <v>41883</v>
      </c>
      <c r="C25">
        <v>15275.8</v>
      </c>
      <c r="E25" s="16">
        <f t="shared" si="3"/>
        <v>15870.872826304252</v>
      </c>
      <c r="F25" s="16">
        <f t="shared" si="4"/>
        <v>135.49915238624686</v>
      </c>
      <c r="H25" s="16">
        <f t="shared" si="5"/>
        <v>-550.46557981879232</v>
      </c>
      <c r="I25">
        <f t="shared" si="6"/>
        <v>16673.803263042533</v>
      </c>
    </row>
    <row r="26" spans="2:15" x14ac:dyDescent="0.25">
      <c r="B26" s="1">
        <v>41913</v>
      </c>
      <c r="C26">
        <v>15292.8</v>
      </c>
      <c r="E26" s="16">
        <f t="shared" si="3"/>
        <v>14927.079697869047</v>
      </c>
      <c r="F26" s="16">
        <f t="shared" si="4"/>
        <v>-80.359303778043582</v>
      </c>
      <c r="H26" s="16">
        <f t="shared" si="5"/>
        <v>425.68098439881032</v>
      </c>
      <c r="I26">
        <f t="shared" si="6"/>
        <v>16006.371978690499</v>
      </c>
    </row>
    <row r="27" spans="2:15" x14ac:dyDescent="0.25">
      <c r="B27" s="1">
        <v>41944</v>
      </c>
      <c r="C27">
        <v>13544.7</v>
      </c>
      <c r="E27" s="16">
        <f t="shared" si="3"/>
        <v>13021.554539409099</v>
      </c>
      <c r="F27" s="16">
        <f t="shared" si="4"/>
        <v>-445.39247471442457</v>
      </c>
      <c r="H27" s="16">
        <f t="shared" si="5"/>
        <v>624.54356362878571</v>
      </c>
      <c r="I27">
        <f t="shared" si="6"/>
        <v>14846.720394091004</v>
      </c>
    </row>
    <row r="28" spans="2:15" x14ac:dyDescent="0.25">
      <c r="B28" s="1">
        <v>41974</v>
      </c>
      <c r="C28">
        <v>14436.3</v>
      </c>
      <c r="E28" s="16">
        <f t="shared" si="3"/>
        <v>12670.658706469465</v>
      </c>
      <c r="F28" s="16">
        <f t="shared" si="4"/>
        <v>-426.49314635946644</v>
      </c>
      <c r="H28" s="16">
        <f t="shared" si="5"/>
        <v>1760.3914800986013</v>
      </c>
      <c r="I28">
        <f t="shared" si="6"/>
        <v>12576.162064694674</v>
      </c>
    </row>
    <row r="29" spans="2:15" x14ac:dyDescent="0.25">
      <c r="B29" s="1">
        <v>42005</v>
      </c>
      <c r="C29">
        <v>13244.9</v>
      </c>
      <c r="E29" s="16">
        <f t="shared" si="3"/>
        <v>13036.859306010996</v>
      </c>
      <c r="F29">
        <f t="shared" si="4"/>
        <v>-267.95439717926695</v>
      </c>
      <c r="H29" s="16">
        <f t="shared" si="5"/>
        <v>164.00215255005878</v>
      </c>
      <c r="I29">
        <f t="shared" si="6"/>
        <v>12244.165560109999</v>
      </c>
    </row>
    <row r="30" spans="2:15" x14ac:dyDescent="0.25">
      <c r="B30" s="1">
        <v>42036</v>
      </c>
      <c r="C30">
        <v>12172.8</v>
      </c>
      <c r="E30" s="16">
        <f t="shared" si="3"/>
        <v>12381.145520883169</v>
      </c>
      <c r="F30">
        <f t="shared" si="4"/>
        <v>-345.5062747689791</v>
      </c>
      <c r="H30" s="16">
        <f t="shared" si="5"/>
        <v>-186.80333266380512</v>
      </c>
      <c r="I30">
        <f t="shared" si="6"/>
        <v>12768.90490883173</v>
      </c>
    </row>
    <row r="31" spans="2:15" x14ac:dyDescent="0.25">
      <c r="B31" s="1">
        <v>42064</v>
      </c>
      <c r="C31">
        <v>13634</v>
      </c>
      <c r="E31" s="16">
        <f t="shared" si="3"/>
        <v>13611.978327211416</v>
      </c>
      <c r="F31">
        <f t="shared" si="4"/>
        <v>-30.238458549533675</v>
      </c>
      <c r="H31" s="16">
        <f t="shared" si="5"/>
        <v>-65.552720605706781</v>
      </c>
      <c r="I31">
        <f t="shared" si="6"/>
        <v>12035.63924611419</v>
      </c>
    </row>
    <row r="32" spans="2:15" x14ac:dyDescent="0.25">
      <c r="B32" s="1">
        <v>42095</v>
      </c>
      <c r="C32">
        <v>13104.6</v>
      </c>
      <c r="E32" s="16">
        <f t="shared" si="3"/>
        <v>13586.200684258187</v>
      </c>
      <c r="F32">
        <f t="shared" si="4"/>
        <v>-29.34629543027286</v>
      </c>
      <c r="H32" s="16">
        <f t="shared" si="5"/>
        <v>-481.84850734687006</v>
      </c>
      <c r="I32">
        <f t="shared" si="6"/>
        <v>13581.739868661884</v>
      </c>
    </row>
    <row r="33" spans="2:9" x14ac:dyDescent="0.25">
      <c r="B33" s="1">
        <v>42125</v>
      </c>
      <c r="C33">
        <v>12754.7</v>
      </c>
      <c r="E33" s="16">
        <f t="shared" si="3"/>
        <v>12043.736610223428</v>
      </c>
      <c r="F33">
        <f t="shared" si="4"/>
        <v>-331.96985115117002</v>
      </c>
      <c r="H33" s="16">
        <f t="shared" si="5"/>
        <v>795.0254885879317</v>
      </c>
      <c r="I33">
        <f t="shared" si="6"/>
        <v>13556.854388827915</v>
      </c>
    </row>
    <row r="34" spans="2:9" x14ac:dyDescent="0.25">
      <c r="B34" s="1">
        <v>42156</v>
      </c>
      <c r="C34">
        <v>13514.1</v>
      </c>
      <c r="E34" s="16">
        <f t="shared" si="3"/>
        <v>13648.012833801415</v>
      </c>
      <c r="F34">
        <f t="shared" si="4"/>
        <v>55.279363794661322</v>
      </c>
      <c r="H34" s="16">
        <f t="shared" si="5"/>
        <v>-241.48206017525581</v>
      </c>
      <c r="I34">
        <f t="shared" si="6"/>
        <v>11711.766759072258</v>
      </c>
    </row>
    <row r="35" spans="2:9" x14ac:dyDescent="0.25">
      <c r="B35" s="1">
        <v>42186</v>
      </c>
      <c r="C35">
        <v>11465.8</v>
      </c>
      <c r="E35" s="16">
        <f t="shared" si="3"/>
        <v>11872.177617888194</v>
      </c>
      <c r="F35">
        <f t="shared" si="4"/>
        <v>-310.94355214691512</v>
      </c>
      <c r="H35" s="16">
        <f t="shared" si="5"/>
        <v>-304.64903012664581</v>
      </c>
      <c r="I35">
        <f t="shared" si="6"/>
        <v>13703.292197596076</v>
      </c>
    </row>
    <row r="36" spans="2:9" x14ac:dyDescent="0.25">
      <c r="B36" s="1">
        <v>42217</v>
      </c>
      <c r="C36">
        <v>12726</v>
      </c>
      <c r="E36" s="16">
        <f t="shared" si="3"/>
        <v>14420.80776706301</v>
      </c>
      <c r="F36">
        <f t="shared" si="4"/>
        <v>260.97118811743121</v>
      </c>
      <c r="H36" s="16">
        <f t="shared" si="5"/>
        <v>-1853.6729726919948</v>
      </c>
      <c r="I36">
        <f t="shared" si="6"/>
        <v>11561.234065741279</v>
      </c>
    </row>
    <row r="37" spans="2:9" x14ac:dyDescent="0.25">
      <c r="B37" s="1">
        <v>42248</v>
      </c>
      <c r="C37">
        <v>12588.4</v>
      </c>
      <c r="E37" s="16">
        <f t="shared" si="3"/>
        <v>13293.156917354956</v>
      </c>
      <c r="F37">
        <f t="shared" si="4"/>
        <v>-16.753219447665828</v>
      </c>
      <c r="H37" s="16">
        <f t="shared" si="5"/>
        <v>-627.61124858687435</v>
      </c>
      <c r="I37">
        <f t="shared" si="6"/>
        <v>14681.778955180442</v>
      </c>
    </row>
    <row r="38" spans="2:9" x14ac:dyDescent="0.25">
      <c r="B38" s="1">
        <v>42278</v>
      </c>
      <c r="C38">
        <v>12121.7</v>
      </c>
      <c r="E38" s="16">
        <f t="shared" si="3"/>
        <v>11854.057483831799</v>
      </c>
      <c r="F38">
        <f t="shared" si="4"/>
        <v>-301.22246226276405</v>
      </c>
      <c r="H38" s="16">
        <f t="shared" si="5"/>
        <v>346.66175028350608</v>
      </c>
      <c r="I38">
        <f t="shared" si="6"/>
        <v>13276.40369790729</v>
      </c>
    </row>
    <row r="39" spans="2:9" x14ac:dyDescent="0.25">
      <c r="B39" s="1">
        <v>42309</v>
      </c>
      <c r="C39">
        <v>11122.2</v>
      </c>
      <c r="E39" s="16">
        <f t="shared" si="3"/>
        <v>10603.174294890996</v>
      </c>
      <c r="F39">
        <f t="shared" si="4"/>
        <v>-491.15460759837185</v>
      </c>
      <c r="H39" s="16">
        <f t="shared" si="5"/>
        <v>571.78463436889524</v>
      </c>
      <c r="I39">
        <f t="shared" si="6"/>
        <v>11552.835021569035</v>
      </c>
    </row>
    <row r="40" spans="2:9" x14ac:dyDescent="0.25">
      <c r="B40" s="1">
        <v>42339</v>
      </c>
      <c r="C40">
        <v>11917.1</v>
      </c>
      <c r="E40" s="16">
        <f t="shared" si="3"/>
        <v>10152.239636640523</v>
      </c>
      <c r="F40">
        <f t="shared" si="4"/>
        <v>-483.11061772879214</v>
      </c>
      <c r="H40" s="16">
        <f t="shared" si="5"/>
        <v>1762.6259217290394</v>
      </c>
      <c r="I40">
        <f t="shared" si="6"/>
        <v>10112.019687292624</v>
      </c>
    </row>
    <row r="41" spans="2:9" x14ac:dyDescent="0.25">
      <c r="B41" s="1">
        <v>42370</v>
      </c>
      <c r="C41">
        <v>10581.9</v>
      </c>
      <c r="E41" s="16">
        <f t="shared" si="3"/>
        <v>10343.020964596122</v>
      </c>
      <c r="F41">
        <f t="shared" si="4"/>
        <v>-348.3322285919138</v>
      </c>
      <c r="H41" s="16">
        <f t="shared" si="5"/>
        <v>201.4405939769681</v>
      </c>
      <c r="I41">
        <f t="shared" si="6"/>
        <v>9669.1290189117299</v>
      </c>
    </row>
    <row r="42" spans="2:9" x14ac:dyDescent="0.25">
      <c r="B42" s="1">
        <v>42401</v>
      </c>
      <c r="C42">
        <v>11316.7</v>
      </c>
      <c r="E42" s="16">
        <f t="shared" si="3"/>
        <v>11352.621872997846</v>
      </c>
      <c r="F42">
        <f t="shared" si="4"/>
        <v>-76.745601193186189</v>
      </c>
      <c r="H42" s="16">
        <f t="shared" si="5"/>
        <v>-111.36260283082538</v>
      </c>
      <c r="I42">
        <f t="shared" si="6"/>
        <v>9994.6887360042092</v>
      </c>
    </row>
    <row r="43" spans="2:9" x14ac:dyDescent="0.25">
      <c r="B43" s="1">
        <v>42430</v>
      </c>
      <c r="C43">
        <v>11812.1</v>
      </c>
      <c r="E43" s="16">
        <f t="shared" si="3"/>
        <v>11817.475075725602</v>
      </c>
      <c r="F43">
        <f t="shared" si="4"/>
        <v>31.574159591002264</v>
      </c>
      <c r="H43" s="16">
        <f t="shared" si="5"/>
        <v>-35.463898165654427</v>
      </c>
      <c r="I43">
        <f t="shared" si="6"/>
        <v>11275.87627180466</v>
      </c>
    </row>
    <row r="44" spans="2:9" x14ac:dyDescent="0.25">
      <c r="B44" s="1">
        <v>42461</v>
      </c>
      <c r="C44">
        <v>11689.7</v>
      </c>
      <c r="E44" s="16">
        <f t="shared" si="3"/>
        <v>12139.298580143843</v>
      </c>
      <c r="F44">
        <f t="shared" si="4"/>
        <v>89.624028556449858</v>
      </c>
      <c r="H44" s="16">
        <f t="shared" si="5"/>
        <v>-465.72354374535598</v>
      </c>
      <c r="I44">
        <f t="shared" si="6"/>
        <v>11849.049235316605</v>
      </c>
    </row>
    <row r="45" spans="2:9" x14ac:dyDescent="0.25">
      <c r="B45" s="1">
        <v>42491</v>
      </c>
      <c r="C45">
        <v>11517.4</v>
      </c>
      <c r="E45" s="16">
        <f t="shared" si="3"/>
        <v>10873.02932114089</v>
      </c>
      <c r="F45">
        <f t="shared" si="4"/>
        <v>-181.5546289554307</v>
      </c>
      <c r="H45" s="16">
        <f t="shared" si="5"/>
        <v>719.69808372352077</v>
      </c>
      <c r="I45">
        <f t="shared" si="6"/>
        <v>12228.922608700292</v>
      </c>
    </row>
    <row r="46" spans="2:9" x14ac:dyDescent="0.25">
      <c r="B46" s="1">
        <v>42522</v>
      </c>
      <c r="C46">
        <v>13206.1</v>
      </c>
      <c r="E46" s="16">
        <f t="shared" si="3"/>
        <v>13171.971323376278</v>
      </c>
      <c r="F46">
        <f t="shared" si="4"/>
        <v>314.54469728273307</v>
      </c>
      <c r="H46" s="16">
        <f t="shared" si="5"/>
        <v>-103.67669177576659</v>
      </c>
      <c r="I46">
        <f t="shared" si="6"/>
        <v>10691.474692185458</v>
      </c>
    </row>
    <row r="47" spans="2:9" x14ac:dyDescent="0.25">
      <c r="B47" s="1">
        <v>42552</v>
      </c>
      <c r="C47">
        <v>9649.5</v>
      </c>
      <c r="E47" s="16">
        <f t="shared" si="3"/>
        <v>10307.385729179881</v>
      </c>
      <c r="F47">
        <f t="shared" si="4"/>
        <v>-321.28136101309281</v>
      </c>
      <c r="H47" s="16">
        <f t="shared" si="5"/>
        <v>-481.26737965326356</v>
      </c>
      <c r="I47">
        <f t="shared" si="6"/>
        <v>13486.516020659012</v>
      </c>
    </row>
    <row r="48" spans="2:9" x14ac:dyDescent="0.25">
      <c r="B48" s="1">
        <v>42583</v>
      </c>
      <c r="C48">
        <v>12701.7</v>
      </c>
      <c r="E48" s="16">
        <f t="shared" si="3"/>
        <v>14098.446112239475</v>
      </c>
      <c r="F48">
        <f t="shared" si="4"/>
        <v>501.1869878014445</v>
      </c>
      <c r="H48" s="16">
        <f t="shared" si="5"/>
        <v>-1625.2095424657346</v>
      </c>
      <c r="I48">
        <f t="shared" si="6"/>
        <v>9986.1043681667888</v>
      </c>
    </row>
    <row r="49" spans="2:9" x14ac:dyDescent="0.25">
      <c r="B49" s="1">
        <v>42614</v>
      </c>
      <c r="C49">
        <v>12579.8</v>
      </c>
      <c r="E49" s="16">
        <f t="shared" si="3"/>
        <v>13346.633433732279</v>
      </c>
      <c r="F49">
        <f t="shared" si="4"/>
        <v>250.58705453971638</v>
      </c>
      <c r="H49" s="16">
        <f t="shared" si="5"/>
        <v>-697.2223411595769</v>
      </c>
      <c r="I49">
        <f t="shared" si="6"/>
        <v>14599.633100040919</v>
      </c>
    </row>
    <row r="50" spans="2:9" x14ac:dyDescent="0.25">
      <c r="B50" s="1">
        <v>42644</v>
      </c>
      <c r="C50">
        <v>12743.7</v>
      </c>
      <c r="E50" s="16">
        <f t="shared" si="3"/>
        <v>12517.056473572044</v>
      </c>
      <c r="F50">
        <f t="shared" si="4"/>
        <v>34.554251599726086</v>
      </c>
      <c r="H50" s="16">
        <f t="shared" si="5"/>
        <v>286.6526383557316</v>
      </c>
      <c r="I50">
        <f t="shared" si="6"/>
        <v>13597.220488271994</v>
      </c>
    </row>
    <row r="51" spans="2:9" x14ac:dyDescent="0.25">
      <c r="B51" s="1">
        <v>42675</v>
      </c>
      <c r="C51">
        <v>13502.9</v>
      </c>
      <c r="E51" s="16">
        <f t="shared" si="3"/>
        <v>12893.164901585169</v>
      </c>
      <c r="F51">
        <f t="shared" si="4"/>
        <v>102.86508688240595</v>
      </c>
      <c r="H51" s="16">
        <f t="shared" si="5"/>
        <v>590.75986639186294</v>
      </c>
      <c r="I51">
        <f t="shared" si="6"/>
        <v>12551.610725171769</v>
      </c>
    </row>
    <row r="52" spans="2:9" x14ac:dyDescent="0.25">
      <c r="B52" s="1">
        <v>42705</v>
      </c>
      <c r="C52">
        <v>13832.4</v>
      </c>
      <c r="E52" s="16">
        <f t="shared" si="3"/>
        <v>12162.399669290622</v>
      </c>
      <c r="F52">
        <f t="shared" si="4"/>
        <v>-63.860976952984629</v>
      </c>
      <c r="H52" s="16">
        <f t="shared" si="5"/>
        <v>1716.3131262192085</v>
      </c>
      <c r="I52">
        <f t="shared" si="6"/>
        <v>12996.029988467575</v>
      </c>
    </row>
    <row r="53" spans="2:9" x14ac:dyDescent="0.25">
      <c r="B53" s="1">
        <v>42736</v>
      </c>
      <c r="C53">
        <v>13397.7</v>
      </c>
      <c r="E53" s="16">
        <f t="shared" si="3"/>
        <v>13086.487334654492</v>
      </c>
      <c r="F53">
        <f t="shared" si="4"/>
        <v>133.72875151038625</v>
      </c>
      <c r="H53" s="16">
        <f t="shared" si="5"/>
        <v>256.32662966123848</v>
      </c>
      <c r="I53">
        <f t="shared" si="6"/>
        <v>12098.538692337637</v>
      </c>
    </row>
    <row r="54" spans="2:9" x14ac:dyDescent="0.25">
      <c r="B54" s="1">
        <v>42767</v>
      </c>
      <c r="C54">
        <v>12616</v>
      </c>
      <c r="E54" s="16">
        <f t="shared" si="3"/>
        <v>12776.64795116423</v>
      </c>
      <c r="F54">
        <f t="shared" si="4"/>
        <v>45.015124510256655</v>
      </c>
      <c r="H54" s="16">
        <f t="shared" si="5"/>
        <v>-136.00527699752774</v>
      </c>
      <c r="I54">
        <f t="shared" si="6"/>
        <v>13220.216086164877</v>
      </c>
    </row>
    <row r="55" spans="2:9" x14ac:dyDescent="0.25">
      <c r="B55" s="1">
        <v>42795</v>
      </c>
      <c r="C55">
        <v>14718.5</v>
      </c>
      <c r="E55" s="16">
        <f t="shared" si="3"/>
        <v>14560.733815916536</v>
      </c>
      <c r="F55">
        <f t="shared" si="4"/>
        <v>392.82927255866645</v>
      </c>
      <c r="H55" s="16">
        <f t="shared" si="5"/>
        <v>61.151142958904984</v>
      </c>
      <c r="I55">
        <f t="shared" si="6"/>
        <v>12821.663075674487</v>
      </c>
    </row>
    <row r="56" spans="2:9" x14ac:dyDescent="0.25">
      <c r="B56" s="1">
        <v>42826</v>
      </c>
      <c r="C56">
        <v>13269.7</v>
      </c>
      <c r="E56" s="16">
        <f t="shared" si="3"/>
        <v>13857.237498218343</v>
      </c>
      <c r="F56">
        <f t="shared" si="4"/>
        <v>173.5641545072946</v>
      </c>
      <c r="H56" s="16">
        <f t="shared" si="5"/>
        <v>-526.63052098184903</v>
      </c>
      <c r="I56">
        <f t="shared" si="6"/>
        <v>14953.563088475203</v>
      </c>
    </row>
    <row r="57" spans="2:9" x14ac:dyDescent="0.25">
      <c r="B57" s="1">
        <v>42856</v>
      </c>
      <c r="C57">
        <v>14333.9</v>
      </c>
      <c r="E57" s="16">
        <f t="shared" si="3"/>
        <v>13655.861889921396</v>
      </c>
      <c r="F57">
        <f t="shared" si="4"/>
        <v>98.576201946446361</v>
      </c>
      <c r="H57" s="16">
        <f t="shared" si="5"/>
        <v>698.86809690106213</v>
      </c>
      <c r="I57">
        <f t="shared" si="6"/>
        <v>14030.801652725637</v>
      </c>
    </row>
    <row r="58" spans="2:9" x14ac:dyDescent="0.25">
      <c r="B58" s="1">
        <v>42887</v>
      </c>
      <c r="C58">
        <v>11661.4</v>
      </c>
      <c r="E58" s="16">
        <f t="shared" si="3"/>
        <v>11964.012831784974</v>
      </c>
      <c r="F58">
        <f t="shared" si="4"/>
        <v>-259.50885007012732</v>
      </c>
      <c r="H58" s="16">
        <f t="shared" si="5"/>
        <v>-203.14476178037046</v>
      </c>
      <c r="I58">
        <f t="shared" si="6"/>
        <v>13754.438091867842</v>
      </c>
    </row>
    <row r="59" spans="2:9" x14ac:dyDescent="0.25">
      <c r="B59" s="1">
        <v>42917</v>
      </c>
      <c r="C59">
        <v>13611.1</v>
      </c>
      <c r="E59" s="16">
        <f t="shared" si="3"/>
        <v>13853.581039859422</v>
      </c>
      <c r="F59">
        <f t="shared" si="4"/>
        <v>170.30656155878782</v>
      </c>
      <c r="H59" s="16">
        <f t="shared" si="5"/>
        <v>-361.87420975634268</v>
      </c>
      <c r="I59">
        <f t="shared" si="6"/>
        <v>11704.503981714846</v>
      </c>
    </row>
    <row r="60" spans="2:9" x14ac:dyDescent="0.25">
      <c r="B60" s="1">
        <v>42948</v>
      </c>
      <c r="C60">
        <v>15188</v>
      </c>
      <c r="E60" s="16">
        <f t="shared" si="3"/>
        <v>16534.277348360982</v>
      </c>
      <c r="F60">
        <f t="shared" si="4"/>
        <v>672.38451094734228</v>
      </c>
      <c r="H60" s="16">
        <f t="shared" si="5"/>
        <v>-1485.7434454133581</v>
      </c>
      <c r="I60">
        <f t="shared" si="6"/>
        <v>14023.88760141821</v>
      </c>
    </row>
    <row r="61" spans="2:9" x14ac:dyDescent="0.25">
      <c r="B61" s="1">
        <v>42979</v>
      </c>
      <c r="C61">
        <v>14580.2</v>
      </c>
      <c r="E61" s="16">
        <f t="shared" si="3"/>
        <v>15470.346292974451</v>
      </c>
      <c r="F61">
        <f t="shared" si="4"/>
        <v>325.12139768056772</v>
      </c>
      <c r="H61" s="16">
        <f t="shared" si="5"/>
        <v>-793.68431706701358</v>
      </c>
      <c r="I61">
        <f t="shared" si="6"/>
        <v>17206.661859308326</v>
      </c>
    </row>
    <row r="62" spans="2:9" x14ac:dyDescent="0.25">
      <c r="B62" s="1">
        <v>43009</v>
      </c>
      <c r="C62">
        <v>15252.6</v>
      </c>
      <c r="E62" s="16">
        <f t="shared" si="3"/>
        <v>15048.899394545344</v>
      </c>
      <c r="F62">
        <f t="shared" si="4"/>
        <v>175.8077384586328</v>
      </c>
      <c r="H62" s="16">
        <f t="shared" si="5"/>
        <v>245.176621905194</v>
      </c>
      <c r="I62">
        <f t="shared" si="6"/>
        <v>15795.467690655019</v>
      </c>
    </row>
    <row r="63" spans="2:9" x14ac:dyDescent="0.25">
      <c r="B63" s="1">
        <v>43040</v>
      </c>
      <c r="C63">
        <v>15334.7</v>
      </c>
      <c r="E63" s="16">
        <f t="shared" si="3"/>
        <v>14792.016833547721</v>
      </c>
      <c r="F63">
        <f t="shared" si="4"/>
        <v>89.269678567381646</v>
      </c>
      <c r="H63" s="16">
        <f t="shared" si="5"/>
        <v>566.72151642207132</v>
      </c>
      <c r="I63">
        <f t="shared" si="6"/>
        <v>15224.707133003976</v>
      </c>
    </row>
    <row r="64" spans="2:9" x14ac:dyDescent="0.25">
      <c r="B64" s="1">
        <v>43070</v>
      </c>
      <c r="C64">
        <v>14864.5</v>
      </c>
      <c r="E64" s="16">
        <f t="shared" si="3"/>
        <v>13321.496837614221</v>
      </c>
      <c r="F64">
        <f t="shared" si="4"/>
        <v>-222.68825633279477</v>
      </c>
      <c r="H64" s="16">
        <f t="shared" si="5"/>
        <v>1629.6581443024938</v>
      </c>
      <c r="I64">
        <f t="shared" si="6"/>
        <v>14881.286512115103</v>
      </c>
    </row>
    <row r="65" spans="2:9" x14ac:dyDescent="0.25">
      <c r="B65" s="1">
        <v>43101</v>
      </c>
      <c r="C65">
        <v>14576.3</v>
      </c>
      <c r="E65" s="16">
        <f t="shared" si="3"/>
        <v>14197.856891433028</v>
      </c>
      <c r="F65">
        <f t="shared" si="4"/>
        <v>-2.8785943024743119</v>
      </c>
      <c r="H65" s="16">
        <f t="shared" si="5"/>
        <v>317.38486911410484</v>
      </c>
      <c r="I65">
        <f t="shared" si="6"/>
        <v>13098.808581281426</v>
      </c>
    </row>
    <row r="66" spans="2:9" x14ac:dyDescent="0.25">
      <c r="B66" s="1">
        <v>43132</v>
      </c>
      <c r="C66">
        <v>14132.4</v>
      </c>
      <c r="E66" s="16">
        <f t="shared" si="3"/>
        <v>14261.06257901083</v>
      </c>
      <c r="F66">
        <f t="shared" si="4"/>
        <v>10.338262073580882</v>
      </c>
      <c r="H66" s="16">
        <f t="shared" si="5"/>
        <v>-132.33392800417892</v>
      </c>
      <c r="I66">
        <f t="shared" si="6"/>
        <v>14194.978297130554</v>
      </c>
    </row>
    <row r="67" spans="2:9" x14ac:dyDescent="0.25">
      <c r="B67" s="1">
        <v>43160</v>
      </c>
      <c r="C67">
        <v>15510.6</v>
      </c>
      <c r="E67" s="16">
        <f t="shared" si="3"/>
        <v>15331.644055445428</v>
      </c>
      <c r="F67">
        <f t="shared" si="4"/>
        <v>222.38690494578429</v>
      </c>
      <c r="H67" s="16">
        <f t="shared" si="5"/>
        <v>120.05354375673892</v>
      </c>
      <c r="I67">
        <f t="shared" si="6"/>
        <v>14271.400841084411</v>
      </c>
    </row>
    <row r="68" spans="2:9" x14ac:dyDescent="0.25">
      <c r="B68" s="1">
        <v>43191</v>
      </c>
      <c r="C68">
        <v>14496.2</v>
      </c>
      <c r="E68" s="16">
        <f t="shared" si="3"/>
        <v>15075.950564922787</v>
      </c>
      <c r="F68">
        <f t="shared" si="4"/>
        <v>126.77082585209929</v>
      </c>
      <c r="H68" s="16">
        <f t="shared" si="5"/>
        <v>-553.19054295231751</v>
      </c>
      <c r="I68">
        <f t="shared" si="6"/>
        <v>15554.030960391212</v>
      </c>
    </row>
    <row r="69" spans="2:9" x14ac:dyDescent="0.25">
      <c r="B69" s="1">
        <v>43221</v>
      </c>
      <c r="C69">
        <v>16198.3</v>
      </c>
      <c r="E69" s="16">
        <f t="shared" si="3"/>
        <v>15469.760851866531</v>
      </c>
      <c r="F69">
        <f t="shared" si="4"/>
        <v>180.17871807042832</v>
      </c>
      <c r="H69" s="16">
        <f t="shared" si="5"/>
        <v>713.7036225172651</v>
      </c>
      <c r="I69">
        <f t="shared" si="6"/>
        <v>15202.721390774886</v>
      </c>
    </row>
    <row r="70" spans="2:9" x14ac:dyDescent="0.25">
      <c r="B70" s="1">
        <v>43252</v>
      </c>
      <c r="C70">
        <v>12941.7</v>
      </c>
      <c r="E70" s="16">
        <f t="shared" si="3"/>
        <v>13395.35424259603</v>
      </c>
      <c r="F70">
        <f t="shared" si="4"/>
        <v>-270.73834739775771</v>
      </c>
      <c r="H70" s="16">
        <f t="shared" si="5"/>
        <v>-328.39950218819962</v>
      </c>
      <c r="I70">
        <f t="shared" si="6"/>
        <v>15649.93956993696</v>
      </c>
    </row>
    <row r="71" spans="2:9" x14ac:dyDescent="0.25">
      <c r="B71" s="1">
        <v>43282</v>
      </c>
      <c r="C71">
        <v>16284.7</v>
      </c>
      <c r="E71" s="16">
        <f t="shared" si="3"/>
        <v>16294.378378300535</v>
      </c>
      <c r="F71">
        <f t="shared" si="4"/>
        <v>363.2141492226948</v>
      </c>
      <c r="H71" s="16">
        <f t="shared" si="5"/>
        <v>-185.77629402843831</v>
      </c>
      <c r="I71">
        <f t="shared" si="6"/>
        <v>13124.615895198272</v>
      </c>
    </row>
    <row r="72" spans="2:9" x14ac:dyDescent="0.25">
      <c r="B72" s="1">
        <v>43313</v>
      </c>
      <c r="C72">
        <v>15865.1</v>
      </c>
      <c r="E72" s="16">
        <f t="shared" si="3"/>
        <v>17281.518353624346</v>
      </c>
      <c r="F72">
        <f t="shared" si="4"/>
        <v>487.99931444291809</v>
      </c>
      <c r="H72" s="16">
        <f t="shared" si="5"/>
        <v>-1451.0808995188518</v>
      </c>
      <c r="I72">
        <f t="shared" si="6"/>
        <v>16657.592527523229</v>
      </c>
    </row>
    <row r="73" spans="2:9" x14ac:dyDescent="0.25">
      <c r="B73" s="1">
        <v>43344</v>
      </c>
      <c r="C73">
        <v>14956.3</v>
      </c>
      <c r="E73" s="16">
        <f t="shared" si="3"/>
        <v>15951.937652167038</v>
      </c>
      <c r="F73">
        <f t="shared" si="4"/>
        <v>124.48331126287303</v>
      </c>
      <c r="H73" s="16">
        <f t="shared" si="5"/>
        <v>-894.66098461702632</v>
      </c>
      <c r="I73">
        <f t="shared" si="6"/>
        <v>17769.517668067263</v>
      </c>
    </row>
    <row r="74" spans="2:9" x14ac:dyDescent="0.25">
      <c r="B74" s="1">
        <v>43374</v>
      </c>
      <c r="C74">
        <v>15909.1</v>
      </c>
      <c r="E74" s="16">
        <f t="shared" si="3"/>
        <v>15705.173136628317</v>
      </c>
      <c r="F74">
        <f t="shared" si="4"/>
        <v>50.233745902554077</v>
      </c>
      <c r="H74" s="16">
        <f t="shared" si="5"/>
        <v>224.5517426384389</v>
      </c>
      <c r="I74">
        <f t="shared" si="6"/>
        <v>16076.420963429911</v>
      </c>
    </row>
    <row r="75" spans="2:9" x14ac:dyDescent="0.25">
      <c r="B75" s="1">
        <v>43405</v>
      </c>
      <c r="C75">
        <v>14851.7</v>
      </c>
      <c r="E75" s="16">
        <f t="shared" si="3"/>
        <v>14432.021323473224</v>
      </c>
      <c r="F75">
        <f t="shared" si="4"/>
        <v>-214.44336590897532</v>
      </c>
      <c r="H75" s="16">
        <f t="shared" si="5"/>
        <v>493.20009647442419</v>
      </c>
      <c r="I75">
        <f t="shared" si="6"/>
        <v>15755.406882530871</v>
      </c>
    </row>
    <row r="76" spans="2:9" x14ac:dyDescent="0.25">
      <c r="B76" s="1">
        <v>43435</v>
      </c>
      <c r="C76">
        <v>14290.1</v>
      </c>
      <c r="E76" s="16">
        <f t="shared" si="3"/>
        <v>12816.155465884181</v>
      </c>
      <c r="F76">
        <f t="shared" si="4"/>
        <v>-494.72786424498872</v>
      </c>
      <c r="H76" s="16">
        <f t="shared" si="5"/>
        <v>1551.8013392091564</v>
      </c>
      <c r="I76">
        <f t="shared" si="6"/>
        <v>14217.577957564248</v>
      </c>
    </row>
    <row r="77" spans="2:9" x14ac:dyDescent="0.25">
      <c r="B77" s="1">
        <v>43466</v>
      </c>
      <c r="C77">
        <v>14028.1</v>
      </c>
      <c r="E77" s="16">
        <f t="shared" si="3"/>
        <v>13571.786377961225</v>
      </c>
      <c r="F77">
        <f t="shared" si="4"/>
        <v>-244.65610898058225</v>
      </c>
      <c r="H77" s="16">
        <f t="shared" si="5"/>
        <v>386.84924557643996</v>
      </c>
      <c r="I77">
        <f t="shared" si="6"/>
        <v>12321.427601639192</v>
      </c>
    </row>
    <row r="78" spans="2:9" x14ac:dyDescent="0.25">
      <c r="B78" s="1">
        <v>43497</v>
      </c>
      <c r="C78">
        <v>12788.6</v>
      </c>
      <c r="E78" s="16">
        <f t="shared" si="3"/>
        <v>12961.553562101824</v>
      </c>
      <c r="F78">
        <f t="shared" si="4"/>
        <v>-317.77145035634601</v>
      </c>
      <c r="H78" s="16">
        <f t="shared" si="5"/>
        <v>-152.64374505300145</v>
      </c>
      <c r="I78">
        <f t="shared" si="6"/>
        <v>13327.130268980643</v>
      </c>
    </row>
    <row r="79" spans="2:9" x14ac:dyDescent="0.25">
      <c r="B79" s="1">
        <v>43525</v>
      </c>
      <c r="C79">
        <v>14447.8</v>
      </c>
      <c r="E79" s="16">
        <f t="shared" si="3"/>
        <v>14159.350021793482</v>
      </c>
      <c r="F79">
        <f t="shared" si="4"/>
        <v>-14.657868346745374</v>
      </c>
      <c r="H79" s="16">
        <f t="shared" si="5"/>
        <v>204.25176098162831</v>
      </c>
      <c r="I79">
        <f t="shared" si="6"/>
        <v>12643.782111745479</v>
      </c>
    </row>
    <row r="80" spans="2:9" x14ac:dyDescent="0.25">
      <c r="B80" s="1">
        <v>43556</v>
      </c>
      <c r="C80">
        <v>13068.1</v>
      </c>
      <c r="E80" s="16">
        <f t="shared" si="3"/>
        <v>13673.63070400176</v>
      </c>
      <c r="F80">
        <f t="shared" si="4"/>
        <v>-108.87015823574062</v>
      </c>
      <c r="H80" s="16">
        <f t="shared" si="5"/>
        <v>-579.36062347703864</v>
      </c>
      <c r="I80">
        <f t="shared" si="6"/>
        <v>14144.692153446736</v>
      </c>
    </row>
    <row r="81" spans="2:9" x14ac:dyDescent="0.25">
      <c r="B81" s="1">
        <v>43586</v>
      </c>
      <c r="C81">
        <v>14751.9</v>
      </c>
      <c r="E81" s="16">
        <f t="shared" si="3"/>
        <v>13990.852794311064</v>
      </c>
      <c r="F81">
        <f t="shared" si="4"/>
        <v>-23.651708526731717</v>
      </c>
      <c r="H81" s="16">
        <f t="shared" si="5"/>
        <v>737.37541410310041</v>
      </c>
      <c r="I81">
        <f t="shared" si="6"/>
        <v>13564.760545766019</v>
      </c>
    </row>
    <row r="82" spans="2:9" x14ac:dyDescent="0.25">
      <c r="B82" s="1">
        <v>43617</v>
      </c>
      <c r="C82">
        <v>11763.4</v>
      </c>
      <c r="E82" s="16">
        <f t="shared" ref="E82:E136" si="7">$L$4*(C82-H70)+(1-$L$4)*(E81+F81)</f>
        <v>12279.339660547812</v>
      </c>
      <c r="F82">
        <f t="shared" ref="F82:F136" si="8">$L$5*(E82-E81)+(1-$L$5)*F81</f>
        <v>-361.22399357403583</v>
      </c>
      <c r="H82" s="16">
        <f t="shared" ref="H82:H136" si="9">$L$6*(C82-E82)+(1-$L$6)*H70</f>
        <v>-422.16958136800599</v>
      </c>
      <c r="I82">
        <f t="shared" ref="I82:I123" si="10">E81+F81*1+G82</f>
        <v>13967.201085784332</v>
      </c>
    </row>
    <row r="83" spans="2:9" x14ac:dyDescent="0.25">
      <c r="B83" s="1">
        <v>43647</v>
      </c>
      <c r="C83">
        <v>15238.4</v>
      </c>
      <c r="E83" s="16">
        <f t="shared" si="7"/>
        <v>15073.570231322972</v>
      </c>
      <c r="F83">
        <f t="shared" si="8"/>
        <v>269.86691929580337</v>
      </c>
      <c r="H83" s="16">
        <f t="shared" si="9"/>
        <v>-10.473262675705428</v>
      </c>
      <c r="I83">
        <f t="shared" si="10"/>
        <v>11918.115666973776</v>
      </c>
    </row>
    <row r="84" spans="2:9" x14ac:dyDescent="0.25">
      <c r="B84" s="1">
        <v>43678</v>
      </c>
      <c r="C84">
        <v>14262</v>
      </c>
      <c r="E84" s="16">
        <f t="shared" si="7"/>
        <v>15676.116524628846</v>
      </c>
      <c r="F84">
        <f t="shared" si="8"/>
        <v>336.40279409781738</v>
      </c>
      <c r="H84" s="16">
        <f t="shared" si="9"/>
        <v>-1432.5987120738487</v>
      </c>
      <c r="I84">
        <f t="shared" si="10"/>
        <v>15343.437150618776</v>
      </c>
    </row>
    <row r="85" spans="2:9" x14ac:dyDescent="0.25">
      <c r="B85" s="1">
        <v>43709</v>
      </c>
      <c r="C85">
        <v>14080.1</v>
      </c>
      <c r="E85" s="16">
        <f t="shared" si="7"/>
        <v>15078.536818027991</v>
      </c>
      <c r="F85">
        <f t="shared" si="8"/>
        <v>149.60629395808303</v>
      </c>
      <c r="H85" s="16">
        <f t="shared" si="9"/>
        <v>-946.54890132250853</v>
      </c>
      <c r="I85">
        <f t="shared" si="10"/>
        <v>16012.519318726663</v>
      </c>
    </row>
    <row r="86" spans="2:9" x14ac:dyDescent="0.25">
      <c r="B86" s="1">
        <v>43739</v>
      </c>
      <c r="C86">
        <v>14881.5</v>
      </c>
      <c r="E86" s="16">
        <f t="shared" si="7"/>
        <v>14714.067742824011</v>
      </c>
      <c r="F86">
        <f t="shared" si="8"/>
        <v>46.791220125670321</v>
      </c>
      <c r="H86" s="16">
        <f t="shared" si="9"/>
        <v>195.99199990721416</v>
      </c>
      <c r="I86">
        <f t="shared" si="10"/>
        <v>15228.143111986074</v>
      </c>
    </row>
    <row r="87" spans="2:9" x14ac:dyDescent="0.25">
      <c r="B87" s="1">
        <v>43770</v>
      </c>
      <c r="C87">
        <v>13944.5</v>
      </c>
      <c r="E87" s="16">
        <f t="shared" si="7"/>
        <v>13582.255809467986</v>
      </c>
      <c r="F87">
        <f t="shared" si="8"/>
        <v>-188.92941057066864</v>
      </c>
      <c r="H87" s="16">
        <f t="shared" si="9"/>
        <v>427.722143503219</v>
      </c>
      <c r="I87">
        <f t="shared" si="10"/>
        <v>14760.85896294968</v>
      </c>
    </row>
    <row r="88" spans="2:9" ht="15.75" thickBot="1" x14ac:dyDescent="0.3">
      <c r="B88" s="1">
        <v>43800</v>
      </c>
      <c r="C88">
        <v>14428.8</v>
      </c>
      <c r="E88" s="16">
        <f t="shared" si="7"/>
        <v>12928.631434601491</v>
      </c>
      <c r="F88">
        <f t="shared" si="8"/>
        <v>-281.86840342983385</v>
      </c>
      <c r="H88" s="16">
        <f t="shared" si="9"/>
        <v>1525.984952303832</v>
      </c>
      <c r="I88">
        <f t="shared" si="10"/>
        <v>13393.326398897318</v>
      </c>
    </row>
    <row r="89" spans="2:9" ht="15.75" thickBot="1" x14ac:dyDescent="0.3">
      <c r="B89" s="1">
        <v>43831</v>
      </c>
      <c r="C89" s="17">
        <v>13636.4</v>
      </c>
      <c r="E89" s="16">
        <f t="shared" si="7"/>
        <v>13189.271982098368</v>
      </c>
      <c r="F89">
        <f t="shared" si="8"/>
        <v>-173.3666132444919</v>
      </c>
      <c r="H89" s="16">
        <f t="shared" si="9"/>
        <v>416.98863173903601</v>
      </c>
      <c r="I89">
        <f t="shared" si="10"/>
        <v>12646.763031171658</v>
      </c>
    </row>
    <row r="90" spans="2:9" ht="15.75" thickBot="1" x14ac:dyDescent="0.3">
      <c r="B90" s="1">
        <v>43862</v>
      </c>
      <c r="C90" s="17">
        <v>14042.1</v>
      </c>
      <c r="E90" s="16">
        <f t="shared" si="7"/>
        <v>14076.859907433089</v>
      </c>
      <c r="F90">
        <f t="shared" si="8"/>
        <v>38.824294471350697</v>
      </c>
      <c r="H90" s="16">
        <f t="shared" si="9"/>
        <v>-93.701826243044877</v>
      </c>
      <c r="I90">
        <f t="shared" si="10"/>
        <v>13015.905368853875</v>
      </c>
    </row>
    <row r="91" spans="2:9" ht="15.75" thickBot="1" x14ac:dyDescent="0.3">
      <c r="B91" s="1">
        <v>43891</v>
      </c>
      <c r="C91" s="17">
        <v>14031.3</v>
      </c>
      <c r="E91" s="16">
        <f t="shared" si="7"/>
        <v>13855.911835306979</v>
      </c>
      <c r="F91">
        <f t="shared" si="8"/>
        <v>-13.130178848141394</v>
      </c>
      <c r="H91" s="16">
        <f t="shared" si="9"/>
        <v>189.81996283732434</v>
      </c>
      <c r="I91">
        <f t="shared" si="10"/>
        <v>14115.68420190444</v>
      </c>
    </row>
    <row r="92" spans="2:9" ht="15.75" thickBot="1" x14ac:dyDescent="0.3">
      <c r="B92" s="1">
        <v>43922</v>
      </c>
      <c r="C92" s="17">
        <v>12159.8</v>
      </c>
      <c r="E92" s="16">
        <f t="shared" si="7"/>
        <v>12849.522726775216</v>
      </c>
      <c r="F92">
        <f t="shared" si="8"/>
        <v>-211.78196478486569</v>
      </c>
      <c r="H92" s="16">
        <f t="shared" si="9"/>
        <v>-634.54167512612776</v>
      </c>
      <c r="I92">
        <f t="shared" si="10"/>
        <v>13842.781656458837</v>
      </c>
    </row>
    <row r="93" spans="2:9" ht="15.75" thickBot="1" x14ac:dyDescent="0.3">
      <c r="B93" s="1">
        <v>43952</v>
      </c>
      <c r="C93" s="17">
        <v>10452.6</v>
      </c>
      <c r="E93" s="16">
        <f t="shared" si="7"/>
        <v>10007.476203506245</v>
      </c>
      <c r="F93">
        <f t="shared" si="8"/>
        <v>-737.83487648168682</v>
      </c>
      <c r="H93" s="16">
        <f t="shared" si="9"/>
        <v>591.24960529842792</v>
      </c>
      <c r="I93">
        <f t="shared" si="10"/>
        <v>12637.74076199035</v>
      </c>
    </row>
    <row r="94" spans="2:9" ht="15.75" thickBot="1" x14ac:dyDescent="0.3">
      <c r="B94" s="1">
        <v>43983</v>
      </c>
      <c r="C94" s="17">
        <v>12006.8</v>
      </c>
      <c r="E94" s="16">
        <f t="shared" si="7"/>
        <v>12113.036755933659</v>
      </c>
      <c r="F94">
        <f t="shared" si="8"/>
        <v>-169.15579069986666</v>
      </c>
      <c r="H94" s="16">
        <f t="shared" si="9"/>
        <v>-264.20316865083294</v>
      </c>
      <c r="I94">
        <f t="shared" si="10"/>
        <v>9269.6413270245575</v>
      </c>
    </row>
    <row r="95" spans="2:9" ht="15.75" thickBot="1" x14ac:dyDescent="0.3">
      <c r="B95" s="1">
        <v>44013</v>
      </c>
      <c r="C95" s="17">
        <v>13689.9</v>
      </c>
      <c r="E95" s="16">
        <f t="shared" si="7"/>
        <v>13524.724032931514</v>
      </c>
      <c r="F95">
        <f t="shared" si="8"/>
        <v>147.01282283967757</v>
      </c>
      <c r="H95" s="16">
        <f t="shared" si="9"/>
        <v>77.35135219639028</v>
      </c>
      <c r="I95">
        <f t="shared" si="10"/>
        <v>11943.880965233793</v>
      </c>
    </row>
    <row r="96" spans="2:9" ht="15.75" thickBot="1" x14ac:dyDescent="0.3">
      <c r="B96" s="1">
        <v>44044</v>
      </c>
      <c r="C96" s="17">
        <v>13055.3</v>
      </c>
      <c r="E96" s="16">
        <f t="shared" si="7"/>
        <v>14406.282526443581</v>
      </c>
      <c r="F96">
        <f t="shared" si="8"/>
        <v>293.92195697415559</v>
      </c>
      <c r="H96" s="16">
        <f t="shared" si="9"/>
        <v>-1391.7906192587154</v>
      </c>
      <c r="I96">
        <f t="shared" si="10"/>
        <v>13671.736855771191</v>
      </c>
    </row>
    <row r="97" spans="2:9" ht="15.75" thickBot="1" x14ac:dyDescent="0.3">
      <c r="B97" s="1">
        <v>44075</v>
      </c>
      <c r="C97" s="17">
        <v>13956.2</v>
      </c>
      <c r="E97" s="16">
        <f t="shared" si="7"/>
        <v>14882.494459532032</v>
      </c>
      <c r="F97">
        <f t="shared" si="8"/>
        <v>330.37995219701463</v>
      </c>
      <c r="H97" s="16">
        <f t="shared" si="9"/>
        <v>-936.42168042726996</v>
      </c>
      <c r="I97">
        <f t="shared" si="10"/>
        <v>14700.204483417738</v>
      </c>
    </row>
    <row r="98" spans="2:9" ht="15.75" thickBot="1" x14ac:dyDescent="0.3">
      <c r="B98" s="1">
        <v>44105</v>
      </c>
      <c r="C98" s="17">
        <v>14363.4</v>
      </c>
      <c r="E98" s="16">
        <f t="shared" si="7"/>
        <v>14271.954641256412</v>
      </c>
      <c r="F98">
        <f t="shared" si="8"/>
        <v>142.19599810248775</v>
      </c>
      <c r="H98" s="16">
        <f t="shared" si="9"/>
        <v>143.71867932540076</v>
      </c>
      <c r="I98">
        <f t="shared" si="10"/>
        <v>15212.874411729046</v>
      </c>
    </row>
    <row r="99" spans="2:9" ht="15.75" thickBot="1" x14ac:dyDescent="0.3">
      <c r="B99" s="1">
        <v>44136</v>
      </c>
      <c r="C99" s="17">
        <v>15258.4</v>
      </c>
      <c r="E99" s="16">
        <f t="shared" si="7"/>
        <v>14789.025134782993</v>
      </c>
      <c r="F99">
        <f t="shared" si="8"/>
        <v>217.17089718730625</v>
      </c>
      <c r="H99" s="16">
        <f t="shared" si="9"/>
        <v>448.54850436011304</v>
      </c>
      <c r="I99">
        <f t="shared" si="10"/>
        <v>14414.150639358901</v>
      </c>
    </row>
    <row r="100" spans="2:9" x14ac:dyDescent="0.25">
      <c r="B100" s="1">
        <v>44166</v>
      </c>
      <c r="C100" s="17">
        <v>16539.599999999999</v>
      </c>
      <c r="E100" s="16">
        <f t="shared" si="7"/>
        <v>15012.87314612358</v>
      </c>
      <c r="F100">
        <f t="shared" si="8"/>
        <v>218.50632001796254</v>
      </c>
      <c r="H100" s="16">
        <f t="shared" si="9"/>
        <v>1526.3559030901251</v>
      </c>
      <c r="I100">
        <f t="shared" si="10"/>
        <v>15006.196031970299</v>
      </c>
    </row>
    <row r="101" spans="2:9" x14ac:dyDescent="0.25">
      <c r="B101" s="1">
        <v>44197</v>
      </c>
      <c r="C101">
        <v>15300.2</v>
      </c>
      <c r="E101" s="16">
        <f t="shared" si="7"/>
        <v>14918.028178049022</v>
      </c>
      <c r="F101">
        <f t="shared" si="8"/>
        <v>155.83606239945846</v>
      </c>
      <c r="H101" s="16">
        <f t="shared" si="9"/>
        <v>399.58022684500725</v>
      </c>
      <c r="I101">
        <f t="shared" si="10"/>
        <v>15231.379466141543</v>
      </c>
    </row>
    <row r="102" spans="2:9" x14ac:dyDescent="0.25">
      <c r="B102" s="1">
        <v>44228</v>
      </c>
      <c r="C102">
        <v>15255.4</v>
      </c>
      <c r="E102" s="16">
        <f t="shared" si="7"/>
        <v>15321.578067663588</v>
      </c>
      <c r="F102">
        <f t="shared" si="8"/>
        <v>205.37882784247986</v>
      </c>
      <c r="H102" s="16">
        <f t="shared" si="9"/>
        <v>-79.939946953316479</v>
      </c>
      <c r="I102">
        <f t="shared" si="10"/>
        <v>15073.86424044848</v>
      </c>
    </row>
    <row r="103" spans="2:9" x14ac:dyDescent="0.25">
      <c r="B103" s="1">
        <v>44256</v>
      </c>
      <c r="C103">
        <v>18398.400000000001</v>
      </c>
      <c r="E103" s="16">
        <f t="shared" si="7"/>
        <v>17940.417722997016</v>
      </c>
      <c r="F103">
        <f t="shared" si="8"/>
        <v>688.07099334066947</v>
      </c>
      <c r="H103" s="16">
        <f t="shared" si="9"/>
        <v>323.90111992015511</v>
      </c>
      <c r="I103">
        <f t="shared" si="10"/>
        <v>15526.956895506068</v>
      </c>
    </row>
    <row r="104" spans="2:9" x14ac:dyDescent="0.25">
      <c r="B104" s="1">
        <v>44287</v>
      </c>
      <c r="C104">
        <v>18474.099999999999</v>
      </c>
      <c r="E104" s="16">
        <f t="shared" si="7"/>
        <v>19060.626379247282</v>
      </c>
      <c r="F104">
        <f t="shared" si="8"/>
        <v>774.4985259225889</v>
      </c>
      <c r="H104" s="16">
        <f t="shared" si="9"/>
        <v>-610.53402718670554</v>
      </c>
      <c r="I104">
        <f t="shared" si="10"/>
        <v>18628.488716337684</v>
      </c>
    </row>
    <row r="105" spans="2:9" x14ac:dyDescent="0.25">
      <c r="B105" s="1">
        <v>44317</v>
      </c>
      <c r="C105">
        <v>16908</v>
      </c>
      <c r="E105" s="16">
        <f t="shared" si="7"/>
        <v>16668.5878457484</v>
      </c>
      <c r="F105">
        <f t="shared" si="8"/>
        <v>141.19111403829464</v>
      </c>
      <c r="H105" s="16">
        <f t="shared" si="9"/>
        <v>415.33087977501418</v>
      </c>
      <c r="I105">
        <f t="shared" si="10"/>
        <v>19835.124905169872</v>
      </c>
    </row>
    <row r="106" spans="2:9" x14ac:dyDescent="0.25">
      <c r="B106" s="1">
        <v>44348</v>
      </c>
      <c r="C106">
        <v>18547.8</v>
      </c>
      <c r="E106" s="16">
        <f t="shared" si="7"/>
        <v>18611.780747764416</v>
      </c>
      <c r="F106">
        <f t="shared" si="8"/>
        <v>501.59147163383909</v>
      </c>
      <c r="H106" s="16">
        <f t="shared" si="9"/>
        <v>-164.09195820762505</v>
      </c>
      <c r="I106">
        <f t="shared" si="10"/>
        <v>16809.778959786694</v>
      </c>
    </row>
    <row r="107" spans="2:9" x14ac:dyDescent="0.25">
      <c r="B107" s="1">
        <v>44378</v>
      </c>
      <c r="C107">
        <v>19369.599999999999</v>
      </c>
      <c r="E107" s="16">
        <f t="shared" si="7"/>
        <v>19274.361004963073</v>
      </c>
      <c r="F107">
        <f t="shared" si="8"/>
        <v>533.78922874680268</v>
      </c>
      <c r="H107" s="16">
        <f t="shared" si="9"/>
        <v>86.295173616657735</v>
      </c>
      <c r="I107">
        <f t="shared" si="10"/>
        <v>19113.372219398254</v>
      </c>
    </row>
    <row r="108" spans="2:9" x14ac:dyDescent="0.25">
      <c r="B108" s="1">
        <v>44409</v>
      </c>
      <c r="C108">
        <v>21443.200000000001</v>
      </c>
      <c r="E108" s="16">
        <f t="shared" si="7"/>
        <v>22532.306580703829</v>
      </c>
      <c r="F108">
        <f t="shared" si="8"/>
        <v>1078.6204981455935</v>
      </c>
      <c r="H108" s="16">
        <f t="shared" si="9"/>
        <v>-1240.4485999812719</v>
      </c>
      <c r="I108">
        <f t="shared" si="10"/>
        <v>19808.150233709875</v>
      </c>
    </row>
    <row r="109" spans="2:9" x14ac:dyDescent="0.25">
      <c r="B109" s="1">
        <v>44440</v>
      </c>
      <c r="C109">
        <v>20618.8</v>
      </c>
      <c r="E109" s="16">
        <f t="shared" si="7"/>
        <v>21760.792220269483</v>
      </c>
      <c r="F109">
        <f t="shared" si="8"/>
        <v>708.5935264296055</v>
      </c>
      <c r="H109" s="16">
        <f t="shared" si="9"/>
        <v>-1039.2069503483767</v>
      </c>
      <c r="I109">
        <f t="shared" si="10"/>
        <v>23610.927078849421</v>
      </c>
    </row>
    <row r="110" spans="2:9" x14ac:dyDescent="0.25">
      <c r="B110" s="1">
        <v>44470</v>
      </c>
      <c r="C110">
        <v>22091</v>
      </c>
      <c r="E110" s="16">
        <f t="shared" si="7"/>
        <v>21999.491763277048</v>
      </c>
      <c r="F110">
        <f t="shared" si="8"/>
        <v>614.61472974519768</v>
      </c>
      <c r="H110" s="16">
        <f t="shared" si="9"/>
        <v>117.61345802417615</v>
      </c>
      <c r="I110">
        <f t="shared" si="10"/>
        <v>22469.385746699088</v>
      </c>
    </row>
    <row r="111" spans="2:9" x14ac:dyDescent="0.25">
      <c r="B111" s="1">
        <v>44501</v>
      </c>
      <c r="C111">
        <v>22845.4</v>
      </c>
      <c r="E111" s="16">
        <f t="shared" si="7"/>
        <v>22418.57699537812</v>
      </c>
      <c r="F111">
        <f t="shared" si="8"/>
        <v>575.50883021637253</v>
      </c>
      <c r="H111" s="16">
        <f t="shared" si="9"/>
        <v>437.68575449099723</v>
      </c>
      <c r="I111">
        <f t="shared" si="10"/>
        <v>22614.106493022246</v>
      </c>
    </row>
    <row r="112" spans="2:9" ht="15.75" thickBot="1" x14ac:dyDescent="0.3">
      <c r="B112" s="1">
        <v>44531</v>
      </c>
      <c r="C112">
        <v>22357.7</v>
      </c>
      <c r="E112" s="16">
        <f t="shared" si="7"/>
        <v>21047.618269778337</v>
      </c>
      <c r="F112">
        <f t="shared" si="8"/>
        <v>186.2153190531414</v>
      </c>
      <c r="H112" s="16">
        <f t="shared" si="9"/>
        <v>1418.2188166558944</v>
      </c>
      <c r="I112">
        <f t="shared" si="10"/>
        <v>22994.085825594491</v>
      </c>
    </row>
    <row r="113" spans="2:10" ht="15.75" thickBot="1" x14ac:dyDescent="0.3">
      <c r="B113" s="1">
        <v>44562</v>
      </c>
      <c r="C113" s="17">
        <v>19143.2</v>
      </c>
      <c r="E113" s="16">
        <f t="shared" si="7"/>
        <v>18992.641154722642</v>
      </c>
      <c r="F113">
        <f t="shared" si="8"/>
        <v>-262.02316776862597</v>
      </c>
      <c r="H113" s="16">
        <f t="shared" si="9"/>
        <v>275.06953606118316</v>
      </c>
      <c r="I113">
        <f t="shared" si="10"/>
        <v>21233.83358883148</v>
      </c>
    </row>
    <row r="114" spans="2:10" ht="15.75" thickBot="1" x14ac:dyDescent="0.3">
      <c r="B114" s="1">
        <v>44593</v>
      </c>
      <c r="C114" s="17">
        <v>20489.099999999999</v>
      </c>
      <c r="E114" s="16">
        <f t="shared" si="7"/>
        <v>20385.197750953386</v>
      </c>
      <c r="F114">
        <f t="shared" si="8"/>
        <v>68.892785031248167</v>
      </c>
      <c r="H114" s="16">
        <f t="shared" si="9"/>
        <v>11.981151046647895</v>
      </c>
      <c r="I114">
        <f t="shared" si="10"/>
        <v>18730.617986954017</v>
      </c>
    </row>
    <row r="115" spans="2:10" ht="15.75" thickBot="1" x14ac:dyDescent="0.3">
      <c r="B115" s="1">
        <v>44621</v>
      </c>
      <c r="C115" s="17">
        <v>26586.7</v>
      </c>
      <c r="E115" s="16">
        <f t="shared" si="7"/>
        <v>25681.928045670324</v>
      </c>
      <c r="F115">
        <f t="shared" si="8"/>
        <v>1114.4602869683861</v>
      </c>
      <c r="H115" s="16">
        <f t="shared" si="9"/>
        <v>614.33653712491605</v>
      </c>
      <c r="I115">
        <f t="shared" si="10"/>
        <v>20454.090535984633</v>
      </c>
    </row>
    <row r="116" spans="2:10" ht="15.75" thickBot="1" x14ac:dyDescent="0.3">
      <c r="B116" s="1">
        <v>44652</v>
      </c>
      <c r="C116" s="17">
        <v>27316.2</v>
      </c>
      <c r="E116" s="16">
        <f t="shared" si="7"/>
        <v>27813.699457731909</v>
      </c>
      <c r="F116">
        <f t="shared" si="8"/>
        <v>1317.9225119870262</v>
      </c>
      <c r="H116" s="16">
        <f t="shared" si="9"/>
        <v>-554.01674245930701</v>
      </c>
      <c r="I116">
        <f t="shared" si="10"/>
        <v>26796.388332638711</v>
      </c>
    </row>
    <row r="117" spans="2:10" ht="15.75" thickBot="1" x14ac:dyDescent="0.3">
      <c r="B117" s="1">
        <v>44682</v>
      </c>
      <c r="C117" s="17">
        <v>21493.3</v>
      </c>
      <c r="E117" s="16">
        <f t="shared" si="7"/>
        <v>21883.334405174381</v>
      </c>
      <c r="F117">
        <f t="shared" si="8"/>
        <v>-131.73500092188488</v>
      </c>
      <c r="H117" s="16">
        <f t="shared" si="9"/>
        <v>12.648237300316396</v>
      </c>
      <c r="I117">
        <f t="shared" si="10"/>
        <v>29131.621969718937</v>
      </c>
    </row>
    <row r="118" spans="2:10" ht="15.75" thickBot="1" x14ac:dyDescent="0.3">
      <c r="B118" s="1">
        <v>44713</v>
      </c>
      <c r="C118" s="17">
        <v>26141</v>
      </c>
      <c r="E118" s="16">
        <f t="shared" si="7"/>
        <v>25849.742702812109</v>
      </c>
      <c r="F118">
        <f t="shared" si="8"/>
        <v>687.89365879003788</v>
      </c>
      <c r="H118" s="16">
        <f t="shared" si="9"/>
        <v>63.582669490132872</v>
      </c>
      <c r="I118">
        <f t="shared" si="10"/>
        <v>21751.599404252494</v>
      </c>
    </row>
    <row r="119" spans="2:10" ht="15.75" thickBot="1" x14ac:dyDescent="0.3">
      <c r="B119" s="1">
        <v>44743</v>
      </c>
      <c r="C119" s="17">
        <v>25473.4</v>
      </c>
      <c r="E119" s="16">
        <f t="shared" si="7"/>
        <v>25502.157979905227</v>
      </c>
      <c r="F119">
        <f t="shared" si="8"/>
        <v>480.79798245065393</v>
      </c>
      <c r="H119" s="16">
        <f t="shared" si="9"/>
        <v>28.768596855716112</v>
      </c>
      <c r="I119">
        <f t="shared" si="10"/>
        <v>26537.636361602148</v>
      </c>
    </row>
    <row r="120" spans="2:10" ht="15.75" thickBot="1" x14ac:dyDescent="0.3">
      <c r="B120" s="1">
        <v>44774</v>
      </c>
      <c r="C120" s="17">
        <v>27928.7</v>
      </c>
      <c r="E120" s="16">
        <f t="shared" si="7"/>
        <v>28850.529336218733</v>
      </c>
      <c r="F120">
        <f t="shared" si="8"/>
        <v>1054.3126572232245</v>
      </c>
      <c r="H120" s="16">
        <f t="shared" si="9"/>
        <v>-1081.1389681000021</v>
      </c>
      <c r="I120">
        <f t="shared" si="10"/>
        <v>25982.955962355882</v>
      </c>
    </row>
    <row r="121" spans="2:10" ht="15.75" thickBot="1" x14ac:dyDescent="0.3">
      <c r="B121" s="1">
        <v>44805</v>
      </c>
      <c r="C121" s="17">
        <v>24764.5</v>
      </c>
      <c r="E121" s="16">
        <f t="shared" si="7"/>
        <v>26213.820454657733</v>
      </c>
      <c r="F121">
        <f t="shared" si="8"/>
        <v>316.10834946637954</v>
      </c>
      <c r="H121" s="16">
        <f t="shared" si="9"/>
        <v>-1244.2637025030547</v>
      </c>
      <c r="I121">
        <f t="shared" si="10"/>
        <v>29904.841993441958</v>
      </c>
    </row>
    <row r="122" spans="2:10" ht="15.75" thickBot="1" x14ac:dyDescent="0.3">
      <c r="B122" s="1">
        <v>44835</v>
      </c>
      <c r="C122" s="17">
        <v>24726.3</v>
      </c>
      <c r="E122" s="16">
        <f t="shared" si="7"/>
        <v>24800.810768190651</v>
      </c>
      <c r="F122">
        <f t="shared" si="8"/>
        <v>-29.715257720312621</v>
      </c>
      <c r="H122" s="16">
        <f t="shared" si="9"/>
        <v>21.551344916762069</v>
      </c>
      <c r="I122">
        <f t="shared" si="10"/>
        <v>26529.928804124113</v>
      </c>
    </row>
    <row r="123" spans="2:10" ht="15.75" thickBot="1" x14ac:dyDescent="0.3">
      <c r="B123" s="1">
        <v>44866</v>
      </c>
      <c r="C123" s="17">
        <v>24059.1</v>
      </c>
      <c r="E123" s="16">
        <f t="shared" si="7"/>
        <v>23736.382372005133</v>
      </c>
      <c r="F123">
        <f t="shared" si="8"/>
        <v>-236.65788541335374</v>
      </c>
      <c r="H123" s="16">
        <f t="shared" si="9"/>
        <v>380.20169124293125</v>
      </c>
      <c r="I123">
        <f t="shared" si="10"/>
        <v>24771.095510470339</v>
      </c>
      <c r="J123" t="s">
        <v>119</v>
      </c>
    </row>
    <row r="124" spans="2:10" x14ac:dyDescent="0.25">
      <c r="B124" s="1">
        <v>44896</v>
      </c>
      <c r="C124" s="17">
        <v>23782.7</v>
      </c>
      <c r="E124" s="16">
        <f t="shared" si="7"/>
        <v>22478.005513668872</v>
      </c>
      <c r="F124" s="7">
        <f t="shared" si="8"/>
        <v>-441.0016799979353</v>
      </c>
      <c r="G124" s="7"/>
      <c r="H124" s="16">
        <f t="shared" si="9"/>
        <v>1361.4566514935118</v>
      </c>
      <c r="I124" s="7">
        <f>$E$123+$F$123*J124+H112</f>
        <v>24917.943303247674</v>
      </c>
      <c r="J124">
        <v>1</v>
      </c>
    </row>
    <row r="125" spans="2:10" x14ac:dyDescent="0.25">
      <c r="B125" s="1">
        <v>44927</v>
      </c>
      <c r="C125">
        <v>22320.7</v>
      </c>
      <c r="E125" s="16">
        <f t="shared" si="7"/>
        <v>22044.767800912032</v>
      </c>
      <c r="F125" s="7">
        <f t="shared" si="8"/>
        <v>-439.44888654971624</v>
      </c>
      <c r="G125" s="7"/>
      <c r="H125" s="16">
        <f t="shared" si="9"/>
        <v>275.50086757457603</v>
      </c>
      <c r="I125" s="7">
        <f t="shared" ref="I125:I136" si="11">$E$123+$F$123*J125+H113</f>
        <v>23538.13613723961</v>
      </c>
      <c r="J125">
        <v>2</v>
      </c>
    </row>
    <row r="126" spans="2:10" x14ac:dyDescent="0.25">
      <c r="B126" s="1">
        <v>44958</v>
      </c>
      <c r="C126">
        <v>21319.7</v>
      </c>
      <c r="E126" s="16">
        <f t="shared" si="7"/>
        <v>21337.478855494253</v>
      </c>
      <c r="F126" s="7">
        <f t="shared" si="8"/>
        <v>-493.01689832332875</v>
      </c>
      <c r="G126" s="7"/>
      <c r="H126" s="16">
        <f t="shared" si="9"/>
        <v>-2.898852223802372</v>
      </c>
      <c r="I126" s="7">
        <f t="shared" si="11"/>
        <v>23038.389866811718</v>
      </c>
      <c r="J126">
        <v>3</v>
      </c>
    </row>
    <row r="127" spans="2:10" x14ac:dyDescent="0.25">
      <c r="B127" s="1">
        <v>44986</v>
      </c>
      <c r="C127">
        <v>23413.9</v>
      </c>
      <c r="E127" s="16">
        <f t="shared" si="7"/>
        <v>22604.05331230467</v>
      </c>
      <c r="F127" s="7">
        <f t="shared" si="8"/>
        <v>-141.09862729657971</v>
      </c>
      <c r="G127" s="7"/>
      <c r="H127" s="16">
        <f t="shared" si="9"/>
        <v>712.09161241012384</v>
      </c>
      <c r="I127" s="7">
        <f t="shared" si="11"/>
        <v>23404.087367476634</v>
      </c>
      <c r="J127">
        <v>4</v>
      </c>
    </row>
    <row r="128" spans="2:10" x14ac:dyDescent="0.25">
      <c r="B128" s="1">
        <v>45017</v>
      </c>
      <c r="C128">
        <v>19280.400000000001</v>
      </c>
      <c r="E128" s="16">
        <f t="shared" si="7"/>
        <v>20097.270536714186</v>
      </c>
      <c r="F128" s="7">
        <f t="shared" si="8"/>
        <v>-614.23545695536052</v>
      </c>
      <c r="G128" s="7"/>
      <c r="H128" s="16">
        <f t="shared" si="9"/>
        <v>-685.4436395867458</v>
      </c>
      <c r="I128" s="7">
        <f t="shared" si="11"/>
        <v>21999.07620247906</v>
      </c>
      <c r="J128">
        <v>5</v>
      </c>
    </row>
    <row r="129" spans="1:10" x14ac:dyDescent="0.25">
      <c r="B129" s="1">
        <v>45047</v>
      </c>
      <c r="C129">
        <v>21706.5</v>
      </c>
      <c r="E129" s="16">
        <f t="shared" si="7"/>
        <v>21472.770094405598</v>
      </c>
      <c r="F129" s="7">
        <f t="shared" si="8"/>
        <v>-216.28845402600609</v>
      </c>
      <c r="G129" s="7"/>
      <c r="H129" s="16">
        <f t="shared" si="9"/>
        <v>123.18907144735931</v>
      </c>
      <c r="I129" s="7">
        <f t="shared" si="11"/>
        <v>22329.083296825327</v>
      </c>
      <c r="J129">
        <v>6</v>
      </c>
    </row>
    <row r="130" spans="1:10" x14ac:dyDescent="0.25">
      <c r="B130" s="1">
        <v>45078</v>
      </c>
      <c r="C130">
        <v>20599</v>
      </c>
      <c r="E130" s="16">
        <f t="shared" si="7"/>
        <v>20607.523761496843</v>
      </c>
      <c r="F130" s="7">
        <f t="shared" si="8"/>
        <v>-346.08002980255588</v>
      </c>
      <c r="G130" s="7"/>
      <c r="H130" s="16">
        <f t="shared" si="9"/>
        <v>27.529453996645046</v>
      </c>
      <c r="I130" s="7">
        <f t="shared" si="11"/>
        <v>22143.359843601789</v>
      </c>
      <c r="J130">
        <v>7</v>
      </c>
    </row>
    <row r="131" spans="1:10" x14ac:dyDescent="0.25">
      <c r="B131" s="1">
        <v>45108</v>
      </c>
      <c r="C131">
        <v>20861.3</v>
      </c>
      <c r="E131" s="16">
        <f t="shared" si="7"/>
        <v>20775.422635999283</v>
      </c>
      <c r="F131" s="7">
        <f t="shared" si="8"/>
        <v>-243.28424894155677</v>
      </c>
      <c r="G131" s="7"/>
      <c r="H131" s="16">
        <f t="shared" si="9"/>
        <v>57.322980428216368</v>
      </c>
      <c r="I131" s="7">
        <f t="shared" si="11"/>
        <v>21871.887885554021</v>
      </c>
      <c r="J131">
        <v>8</v>
      </c>
    </row>
    <row r="132" spans="1:10" x14ac:dyDescent="0.25">
      <c r="B132" s="1">
        <v>45139</v>
      </c>
      <c r="C132">
        <v>21996.3</v>
      </c>
      <c r="E132" s="16">
        <f t="shared" si="7"/>
        <v>22822.908909995775</v>
      </c>
      <c r="F132" s="7">
        <f t="shared" si="8"/>
        <v>214.86985564605297</v>
      </c>
      <c r="G132" s="7"/>
      <c r="H132" s="16">
        <f t="shared" si="9"/>
        <v>-953.87393904788871</v>
      </c>
      <c r="I132" s="7">
        <f t="shared" si="11"/>
        <v>20525.322435184946</v>
      </c>
      <c r="J132">
        <v>9</v>
      </c>
    </row>
    <row r="133" spans="1:10" x14ac:dyDescent="0.25">
      <c r="B133" s="1">
        <v>45170</v>
      </c>
      <c r="C133">
        <v>20744.900000000001</v>
      </c>
      <c r="E133" s="16">
        <f t="shared" si="7"/>
        <v>22094.025208816933</v>
      </c>
      <c r="F133" s="7">
        <f t="shared" si="8"/>
        <v>26.119144281074</v>
      </c>
      <c r="G133" s="7"/>
      <c r="H133" s="16">
        <f t="shared" si="9"/>
        <v>-1296.6944556599929</v>
      </c>
      <c r="I133" s="7">
        <f t="shared" si="11"/>
        <v>20125.539815368538</v>
      </c>
      <c r="J133">
        <v>10</v>
      </c>
    </row>
    <row r="134" spans="1:10" x14ac:dyDescent="0.25">
      <c r="B134" s="1">
        <v>45200</v>
      </c>
      <c r="C134">
        <v>22144.5</v>
      </c>
      <c r="E134" s="16">
        <f t="shared" si="7"/>
        <v>22122.668224884714</v>
      </c>
      <c r="F134" s="7">
        <f t="shared" si="8"/>
        <v>26.6239186384154</v>
      </c>
      <c r="G134" s="7"/>
      <c r="H134" s="16">
        <f t="shared" si="9"/>
        <v>21.69156001602418</v>
      </c>
      <c r="I134" s="7">
        <f t="shared" si="11"/>
        <v>21154.696977375006</v>
      </c>
      <c r="J134">
        <v>11</v>
      </c>
    </row>
    <row r="135" spans="1:10" x14ac:dyDescent="0.25">
      <c r="B135" s="1">
        <v>45231</v>
      </c>
      <c r="C135">
        <v>21995.9</v>
      </c>
      <c r="E135" s="16">
        <f t="shared" si="7"/>
        <v>21669.057692233677</v>
      </c>
      <c r="F135" s="7">
        <f t="shared" si="8"/>
        <v>-69.422971619475064</v>
      </c>
      <c r="G135" s="7"/>
      <c r="H135" s="16">
        <f t="shared" si="9"/>
        <v>353.52199950462796</v>
      </c>
      <c r="I135" s="7">
        <f t="shared" si="11"/>
        <v>21276.68943828782</v>
      </c>
      <c r="J135">
        <v>12</v>
      </c>
    </row>
    <row r="136" spans="1:10" x14ac:dyDescent="0.25">
      <c r="B136" s="1">
        <v>45261</v>
      </c>
      <c r="C136">
        <v>22391.200000000001</v>
      </c>
      <c r="E136" s="16">
        <f t="shared" si="7"/>
        <v>21086.732485717261</v>
      </c>
      <c r="F136" s="7">
        <f t="shared" si="8"/>
        <v>-172.00341859886328</v>
      </c>
      <c r="G136" s="7"/>
      <c r="H136" s="16">
        <f t="shared" si="9"/>
        <v>1332.9620828881259</v>
      </c>
      <c r="I136" s="7">
        <f t="shared" si="11"/>
        <v>22021.286513125044</v>
      </c>
      <c r="J136">
        <v>13</v>
      </c>
    </row>
    <row r="139" spans="1:10" x14ac:dyDescent="0.25">
      <c r="B139" s="23" t="s">
        <v>154</v>
      </c>
      <c r="C139" t="s">
        <v>158</v>
      </c>
    </row>
    <row r="140" spans="1:10" x14ac:dyDescent="0.25">
      <c r="A140">
        <v>1</v>
      </c>
      <c r="B140" t="s">
        <v>43</v>
      </c>
      <c r="C140" s="24">
        <f>$E$136+$F$136*A140+H125</f>
        <v>21190.229934692976</v>
      </c>
    </row>
    <row r="141" spans="1:10" x14ac:dyDescent="0.25">
      <c r="A141">
        <v>2</v>
      </c>
      <c r="B141" t="s">
        <v>44</v>
      </c>
      <c r="C141" s="24">
        <f t="shared" ref="C141:C151" si="12">$E$136+$F$136*A141+H126</f>
        <v>20739.826796295732</v>
      </c>
    </row>
    <row r="142" spans="1:10" x14ac:dyDescent="0.25">
      <c r="A142">
        <v>3</v>
      </c>
      <c r="B142" t="s">
        <v>45</v>
      </c>
      <c r="C142" s="24">
        <f t="shared" si="12"/>
        <v>21282.813842330794</v>
      </c>
    </row>
    <row r="143" spans="1:10" x14ac:dyDescent="0.25">
      <c r="A143">
        <v>4</v>
      </c>
      <c r="B143" t="s">
        <v>46</v>
      </c>
      <c r="C143" s="24">
        <f t="shared" si="12"/>
        <v>19713.275171735062</v>
      </c>
    </row>
    <row r="144" spans="1:10" x14ac:dyDescent="0.25">
      <c r="A144">
        <v>5</v>
      </c>
      <c r="B144" t="s">
        <v>47</v>
      </c>
      <c r="C144" s="24">
        <f t="shared" si="12"/>
        <v>20349.904464170304</v>
      </c>
    </row>
    <row r="145" spans="1:3" x14ac:dyDescent="0.25">
      <c r="A145">
        <v>6</v>
      </c>
      <c r="B145" t="s">
        <v>48</v>
      </c>
      <c r="C145" s="24">
        <f t="shared" si="12"/>
        <v>20082.241428120728</v>
      </c>
    </row>
    <row r="146" spans="1:3" x14ac:dyDescent="0.25">
      <c r="A146">
        <v>7</v>
      </c>
      <c r="B146" t="s">
        <v>49</v>
      </c>
      <c r="C146" s="24">
        <f t="shared" si="12"/>
        <v>19940.031535953436</v>
      </c>
    </row>
    <row r="147" spans="1:3" x14ac:dyDescent="0.25">
      <c r="A147">
        <v>8</v>
      </c>
      <c r="B147" t="s">
        <v>50</v>
      </c>
      <c r="C147" s="24">
        <f t="shared" si="12"/>
        <v>18756.831197878466</v>
      </c>
    </row>
    <row r="148" spans="1:3" x14ac:dyDescent="0.25">
      <c r="A148">
        <v>9</v>
      </c>
      <c r="B148" t="s">
        <v>51</v>
      </c>
      <c r="C148" s="24">
        <f t="shared" si="12"/>
        <v>18242.007262667499</v>
      </c>
    </row>
    <row r="149" spans="1:3" x14ac:dyDescent="0.25">
      <c r="A149">
        <v>10</v>
      </c>
      <c r="B149" t="s">
        <v>52</v>
      </c>
      <c r="C149" s="24">
        <f t="shared" si="12"/>
        <v>19388.389859744653</v>
      </c>
    </row>
    <row r="150" spans="1:3" x14ac:dyDescent="0.25">
      <c r="A150">
        <v>11</v>
      </c>
      <c r="B150" t="s">
        <v>53</v>
      </c>
      <c r="C150" s="24">
        <f t="shared" si="12"/>
        <v>19548.216880634394</v>
      </c>
    </row>
    <row r="151" spans="1:3" x14ac:dyDescent="0.25">
      <c r="A151">
        <v>12</v>
      </c>
      <c r="B151" t="s">
        <v>54</v>
      </c>
      <c r="C151" s="24">
        <f t="shared" si="12"/>
        <v>20355.653545419027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R36"/>
  <sheetViews>
    <sheetView tabSelected="1" topLeftCell="C1" workbookViewId="0">
      <selection activeCell="D3" sqref="D3:D15"/>
    </sheetView>
  </sheetViews>
  <sheetFormatPr defaultRowHeight="15" x14ac:dyDescent="0.25"/>
  <sheetData>
    <row r="2" spans="3:18" ht="15.75" thickBot="1" x14ac:dyDescent="0.3">
      <c r="D2" t="s">
        <v>146</v>
      </c>
      <c r="E2" t="s">
        <v>147</v>
      </c>
      <c r="F2" t="s">
        <v>148</v>
      </c>
      <c r="H2" t="s">
        <v>150</v>
      </c>
      <c r="I2" t="s">
        <v>151</v>
      </c>
      <c r="J2" t="s">
        <v>152</v>
      </c>
      <c r="K2" t="s">
        <v>153</v>
      </c>
    </row>
    <row r="3" spans="3:18" x14ac:dyDescent="0.25">
      <c r="C3" s="1">
        <v>44896</v>
      </c>
      <c r="D3" s="17">
        <v>23782.7</v>
      </c>
      <c r="E3">
        <v>24917.943303247674</v>
      </c>
      <c r="F3">
        <v>25719.034539742643</v>
      </c>
      <c r="H3">
        <f>ABS(D3-E3)</f>
        <v>1135.2433032476729</v>
      </c>
      <c r="I3">
        <f>ABS(D3-F3)</f>
        <v>1936.3345397426419</v>
      </c>
      <c r="J3">
        <f>H3/D3</f>
        <v>4.7733995856133783E-2</v>
      </c>
      <c r="K3">
        <f>I3/D3</f>
        <v>8.1417775935559961E-2</v>
      </c>
      <c r="N3" t="s">
        <v>159</v>
      </c>
      <c r="O3" t="s">
        <v>146</v>
      </c>
      <c r="Q3" t="s">
        <v>160</v>
      </c>
      <c r="R3" t="s">
        <v>161</v>
      </c>
    </row>
    <row r="4" spans="3:18" x14ac:dyDescent="0.25">
      <c r="C4" s="1">
        <v>44927</v>
      </c>
      <c r="D4">
        <v>22320.7</v>
      </c>
      <c r="E4">
        <v>23538.13613723961</v>
      </c>
      <c r="F4">
        <v>24029.506803151653</v>
      </c>
      <c r="H4">
        <f t="shared" ref="H4:H15" si="0">ABS(D4-E4)</f>
        <v>1217.4361372396088</v>
      </c>
      <c r="I4">
        <f t="shared" ref="I4:I15" si="1">ABS(D4-F4)</f>
        <v>1708.8068031516523</v>
      </c>
      <c r="J4">
        <f t="shared" ref="J4:J15" si="2">H4/D4</f>
        <v>5.4542919229218112E-2</v>
      </c>
      <c r="K4">
        <f t="shared" ref="K4:K15" si="3">I4/D4</f>
        <v>7.655704360309723E-2</v>
      </c>
      <c r="M4" s="1">
        <v>45292</v>
      </c>
      <c r="N4">
        <v>21190.229934692976</v>
      </c>
      <c r="O4">
        <v>20493.099999999999</v>
      </c>
      <c r="Q4">
        <f>ABS(O4-N4)</f>
        <v>697.12993469297726</v>
      </c>
      <c r="R4">
        <f>Q4/O4</f>
        <v>3.401778816738206E-2</v>
      </c>
    </row>
    <row r="5" spans="3:18" x14ac:dyDescent="0.25">
      <c r="C5" s="1">
        <v>44958</v>
      </c>
      <c r="D5">
        <v>21319.7</v>
      </c>
      <c r="E5">
        <v>23038.389866811718</v>
      </c>
      <c r="F5">
        <v>23629.604796893669</v>
      </c>
      <c r="H5">
        <f t="shared" si="0"/>
        <v>1718.6898668117174</v>
      </c>
      <c r="I5">
        <f t="shared" si="1"/>
        <v>2309.9047968936684</v>
      </c>
      <c r="J5">
        <f t="shared" si="2"/>
        <v>8.0615105597720296E-2</v>
      </c>
      <c r="K5">
        <f t="shared" si="3"/>
        <v>0.10834602723742212</v>
      </c>
      <c r="M5" s="1">
        <v>45323</v>
      </c>
      <c r="N5">
        <v>20739.826796295732</v>
      </c>
      <c r="O5">
        <v>19272.900000000001</v>
      </c>
      <c r="Q5">
        <f t="shared" ref="Q5:Q15" si="4">ABS(O5-N5)</f>
        <v>1466.926796295731</v>
      </c>
      <c r="R5">
        <f t="shared" ref="R5:R15" si="5">Q5/O5</f>
        <v>7.6113444074100464E-2</v>
      </c>
    </row>
    <row r="6" spans="3:18" x14ac:dyDescent="0.25">
      <c r="C6" s="1">
        <v>44986</v>
      </c>
      <c r="D6">
        <v>23413.9</v>
      </c>
      <c r="E6">
        <v>23404.087367476634</v>
      </c>
      <c r="F6">
        <v>24709.492127523619</v>
      </c>
      <c r="H6">
        <f t="shared" si="0"/>
        <v>9.8126325233679381</v>
      </c>
      <c r="I6">
        <f t="shared" si="1"/>
        <v>1295.5921275236178</v>
      </c>
      <c r="J6">
        <f t="shared" si="2"/>
        <v>4.1909432103869656E-4</v>
      </c>
      <c r="K6">
        <f t="shared" si="3"/>
        <v>5.5334315407668852E-2</v>
      </c>
      <c r="M6" s="1">
        <v>45352</v>
      </c>
      <c r="N6">
        <v>21282.813842330794</v>
      </c>
      <c r="O6">
        <v>22537.7</v>
      </c>
      <c r="Q6">
        <f t="shared" si="4"/>
        <v>1254.886157669207</v>
      </c>
      <c r="R6">
        <f t="shared" si="5"/>
        <v>5.5679424150166475E-2</v>
      </c>
    </row>
    <row r="7" spans="3:18" x14ac:dyDescent="0.25">
      <c r="C7" s="1">
        <v>45017</v>
      </c>
      <c r="D7">
        <v>19280.400000000001</v>
      </c>
      <c r="E7">
        <v>21999.07620247906</v>
      </c>
      <c r="F7">
        <v>22470.866962562919</v>
      </c>
      <c r="H7">
        <f t="shared" si="0"/>
        <v>2718.6762024790587</v>
      </c>
      <c r="I7">
        <f t="shared" si="1"/>
        <v>3190.4669625629176</v>
      </c>
      <c r="J7">
        <f t="shared" si="2"/>
        <v>0.14100725101549028</v>
      </c>
      <c r="K7">
        <f t="shared" si="3"/>
        <v>0.16547721844790136</v>
      </c>
      <c r="M7" s="1">
        <v>45383</v>
      </c>
      <c r="N7">
        <v>19713.275171735062</v>
      </c>
      <c r="O7">
        <v>19614.900000000001</v>
      </c>
      <c r="Q7">
        <f t="shared" si="4"/>
        <v>98.375171735060576</v>
      </c>
      <c r="R7">
        <f t="shared" si="5"/>
        <v>5.0153287416739604E-3</v>
      </c>
    </row>
    <row r="8" spans="3:18" x14ac:dyDescent="0.25">
      <c r="C8" s="1">
        <v>45047</v>
      </c>
      <c r="D8">
        <v>21706.5</v>
      </c>
      <c r="E8">
        <v>22329.083296825327</v>
      </c>
      <c r="F8">
        <v>22459.230470913782</v>
      </c>
      <c r="H8">
        <f t="shared" si="0"/>
        <v>622.58329682532712</v>
      </c>
      <c r="I8">
        <f t="shared" si="1"/>
        <v>752.73047091378248</v>
      </c>
      <c r="J8">
        <f t="shared" si="2"/>
        <v>2.8681883160589092E-2</v>
      </c>
      <c r="K8">
        <f t="shared" si="3"/>
        <v>3.4677652818915189E-2</v>
      </c>
      <c r="M8" s="1">
        <v>45413</v>
      </c>
      <c r="N8">
        <v>20349.904464170304</v>
      </c>
      <c r="O8">
        <v>22325.5</v>
      </c>
      <c r="Q8">
        <f t="shared" si="4"/>
        <v>1975.595535829696</v>
      </c>
      <c r="R8">
        <f t="shared" si="5"/>
        <v>8.8490539330796439E-2</v>
      </c>
    </row>
    <row r="9" spans="3:18" x14ac:dyDescent="0.25">
      <c r="C9" s="1">
        <v>45078</v>
      </c>
      <c r="D9">
        <v>20599</v>
      </c>
      <c r="E9">
        <v>22143.359843601789</v>
      </c>
      <c r="F9">
        <v>22562.824389930916</v>
      </c>
      <c r="H9">
        <f t="shared" si="0"/>
        <v>1544.3598436017892</v>
      </c>
      <c r="I9">
        <f t="shared" si="1"/>
        <v>1963.8243899309164</v>
      </c>
      <c r="J9">
        <f t="shared" si="2"/>
        <v>7.4972563891537905E-2</v>
      </c>
      <c r="K9">
        <f t="shared" si="3"/>
        <v>9.5335909021356205E-2</v>
      </c>
      <c r="M9" s="1">
        <v>45444</v>
      </c>
      <c r="N9">
        <v>20082.241428120728</v>
      </c>
      <c r="O9">
        <v>20845.099999999999</v>
      </c>
      <c r="Q9">
        <f t="shared" si="4"/>
        <v>762.85857187927104</v>
      </c>
      <c r="R9">
        <f t="shared" si="5"/>
        <v>3.6596541723439617E-2</v>
      </c>
    </row>
    <row r="10" spans="3:18" x14ac:dyDescent="0.25">
      <c r="C10" s="1">
        <v>45108</v>
      </c>
      <c r="D10">
        <v>20861.3</v>
      </c>
      <c r="E10">
        <v>21871.887885554021</v>
      </c>
      <c r="F10">
        <v>22570.865746466854</v>
      </c>
      <c r="H10">
        <f t="shared" si="0"/>
        <v>1010.5878855540213</v>
      </c>
      <c r="I10">
        <f t="shared" si="1"/>
        <v>1709.5657464668548</v>
      </c>
      <c r="J10">
        <f t="shared" si="2"/>
        <v>4.8443188370524436E-2</v>
      </c>
      <c r="K10">
        <f t="shared" si="3"/>
        <v>8.1949147295080113E-2</v>
      </c>
      <c r="M10" s="1">
        <v>45474</v>
      </c>
      <c r="N10">
        <v>19940.031535953436</v>
      </c>
      <c r="O10">
        <v>22237.3</v>
      </c>
      <c r="Q10">
        <f t="shared" si="4"/>
        <v>2297.2684640465632</v>
      </c>
      <c r="R10">
        <f t="shared" si="5"/>
        <v>0.10330698709135386</v>
      </c>
    </row>
    <row r="11" spans="3:18" x14ac:dyDescent="0.25">
      <c r="C11" s="1">
        <v>45139</v>
      </c>
      <c r="D11">
        <v>21996.3</v>
      </c>
      <c r="E11">
        <v>20525.322435184946</v>
      </c>
      <c r="F11">
        <v>21083.947958927867</v>
      </c>
      <c r="H11">
        <f t="shared" si="0"/>
        <v>1470.9775648150535</v>
      </c>
      <c r="I11">
        <f t="shared" si="1"/>
        <v>912.35204107213212</v>
      </c>
      <c r="J11">
        <f t="shared" si="2"/>
        <v>6.6873863550463195E-2</v>
      </c>
      <c r="K11">
        <f t="shared" si="3"/>
        <v>4.1477523086706956E-2</v>
      </c>
      <c r="M11" s="1">
        <v>45505</v>
      </c>
      <c r="N11">
        <v>18756.831197878466</v>
      </c>
      <c r="O11">
        <v>23440.3</v>
      </c>
      <c r="Q11">
        <f t="shared" si="4"/>
        <v>4683.4688021215334</v>
      </c>
      <c r="R11">
        <f t="shared" si="5"/>
        <v>0.19980413229018115</v>
      </c>
    </row>
    <row r="12" spans="3:18" x14ac:dyDescent="0.25">
      <c r="C12" s="1">
        <v>45170</v>
      </c>
      <c r="D12">
        <v>20744.900000000001</v>
      </c>
      <c r="E12">
        <v>20125.539815368538</v>
      </c>
      <c r="F12">
        <v>20307.62669895581</v>
      </c>
      <c r="H12">
        <f t="shared" si="0"/>
        <v>619.3601846314632</v>
      </c>
      <c r="I12">
        <f t="shared" si="1"/>
        <v>437.27330104419161</v>
      </c>
      <c r="J12">
        <f t="shared" si="2"/>
        <v>2.9856021703236129E-2</v>
      </c>
      <c r="K12">
        <f t="shared" si="3"/>
        <v>2.1078592861097985E-2</v>
      </c>
      <c r="M12" s="1">
        <v>45536</v>
      </c>
      <c r="N12">
        <v>18242.007262667499</v>
      </c>
      <c r="O12">
        <v>22055.5</v>
      </c>
      <c r="Q12">
        <f t="shared" si="4"/>
        <v>3813.4927373325008</v>
      </c>
      <c r="R12">
        <f t="shared" si="5"/>
        <v>0.17290438835358532</v>
      </c>
    </row>
    <row r="13" spans="3:18" x14ac:dyDescent="0.25">
      <c r="C13" s="1">
        <v>45200</v>
      </c>
      <c r="D13">
        <v>22144.5</v>
      </c>
      <c r="E13">
        <v>21154.696977375006</v>
      </c>
      <c r="F13">
        <v>21420.929574381917</v>
      </c>
      <c r="H13">
        <f t="shared" si="0"/>
        <v>989.8030226249939</v>
      </c>
      <c r="I13">
        <f t="shared" si="1"/>
        <v>723.57042561808339</v>
      </c>
      <c r="J13">
        <f t="shared" si="2"/>
        <v>4.4697465403373021E-2</v>
      </c>
      <c r="K13">
        <f t="shared" si="3"/>
        <v>3.2674949789703242E-2</v>
      </c>
      <c r="M13" s="1">
        <v>45200</v>
      </c>
      <c r="N13">
        <v>19388.389859744653</v>
      </c>
      <c r="O13">
        <v>24421.599999999999</v>
      </c>
      <c r="Q13">
        <f t="shared" si="4"/>
        <v>5033.2101402553453</v>
      </c>
      <c r="R13">
        <f t="shared" si="5"/>
        <v>0.20609665788708953</v>
      </c>
    </row>
    <row r="14" spans="3:18" x14ac:dyDescent="0.25">
      <c r="C14" s="1">
        <v>45231</v>
      </c>
      <c r="D14">
        <v>21995.9</v>
      </c>
      <c r="E14">
        <v>21276.68943828782</v>
      </c>
      <c r="F14">
        <v>21651.945543910781</v>
      </c>
      <c r="H14">
        <f t="shared" si="0"/>
        <v>719.21056171218152</v>
      </c>
      <c r="I14">
        <f t="shared" si="1"/>
        <v>343.95445608922091</v>
      </c>
      <c r="J14">
        <f t="shared" si="2"/>
        <v>3.2697482790528302E-2</v>
      </c>
      <c r="K14">
        <f t="shared" si="3"/>
        <v>1.5637207665484064E-2</v>
      </c>
      <c r="M14" s="1">
        <v>45597</v>
      </c>
      <c r="N14">
        <v>19548.216880634394</v>
      </c>
      <c r="O14">
        <v>23998.2</v>
      </c>
      <c r="Q14">
        <f t="shared" si="4"/>
        <v>4449.9831193656064</v>
      </c>
      <c r="R14">
        <f t="shared" si="5"/>
        <v>0.18542987054719129</v>
      </c>
    </row>
    <row r="15" spans="3:18" x14ac:dyDescent="0.25">
      <c r="C15" s="1">
        <v>45261</v>
      </c>
      <c r="D15">
        <v>22391.200000000001</v>
      </c>
      <c r="E15">
        <v>22021.286513125044</v>
      </c>
      <c r="F15">
        <v>22775.00274715151</v>
      </c>
      <c r="H15">
        <f t="shared" si="0"/>
        <v>369.91348687495702</v>
      </c>
      <c r="I15">
        <f t="shared" si="1"/>
        <v>383.80274715150881</v>
      </c>
      <c r="J15">
        <f t="shared" si="2"/>
        <v>1.6520485140365724E-2</v>
      </c>
      <c r="K15">
        <f t="shared" si="3"/>
        <v>1.7140785091978493E-2</v>
      </c>
      <c r="M15" s="1">
        <v>45627</v>
      </c>
      <c r="N15">
        <v>20355.653545419027</v>
      </c>
      <c r="O15">
        <v>23461.4</v>
      </c>
      <c r="Q15">
        <f t="shared" si="4"/>
        <v>3105.7464545809744</v>
      </c>
      <c r="R15">
        <f t="shared" si="5"/>
        <v>0.13237685963245902</v>
      </c>
    </row>
    <row r="17" spans="3:15" x14ac:dyDescent="0.25">
      <c r="H17" t="s">
        <v>147</v>
      </c>
      <c r="I17" t="s">
        <v>148</v>
      </c>
      <c r="O17">
        <f>(1/12)*SUM(R4:R15)*100</f>
        <v>10.798599683245159</v>
      </c>
    </row>
    <row r="18" spans="3:15" x14ac:dyDescent="0.25">
      <c r="G18" t="s">
        <v>149</v>
      </c>
      <c r="H18">
        <f>(1/13)*SUM(J3:J15)*100</f>
        <v>5.1312409233093774</v>
      </c>
      <c r="I18">
        <f>(1/13)*SUM(K3:K15)*100</f>
        <v>6.362339602015167</v>
      </c>
    </row>
    <row r="20" spans="3:15" ht="15.75" thickBot="1" x14ac:dyDescent="0.3"/>
    <row r="21" spans="3:15" x14ac:dyDescent="0.25">
      <c r="C21" s="1"/>
      <c r="D21" s="17"/>
      <c r="E21" s="25"/>
      <c r="F21" s="24"/>
    </row>
    <row r="22" spans="3:15" x14ac:dyDescent="0.25">
      <c r="C22" s="1"/>
      <c r="E22" s="25"/>
      <c r="F22" s="24"/>
    </row>
    <row r="23" spans="3:15" x14ac:dyDescent="0.25">
      <c r="C23" s="1"/>
      <c r="E23" s="25"/>
      <c r="F23" s="24"/>
    </row>
    <row r="24" spans="3:15" x14ac:dyDescent="0.25">
      <c r="C24" s="1"/>
      <c r="E24" s="25"/>
      <c r="F24" s="24"/>
    </row>
    <row r="25" spans="3:15" x14ac:dyDescent="0.25">
      <c r="C25" s="1"/>
      <c r="E25" s="25"/>
      <c r="F25" s="24"/>
    </row>
    <row r="26" spans="3:15" x14ac:dyDescent="0.25">
      <c r="C26" s="1"/>
      <c r="E26" s="25"/>
      <c r="F26" s="24"/>
    </row>
    <row r="27" spans="3:15" x14ac:dyDescent="0.25">
      <c r="C27" s="1"/>
      <c r="E27" s="25"/>
      <c r="F27" s="24"/>
    </row>
    <row r="28" spans="3:15" x14ac:dyDescent="0.25">
      <c r="C28" s="1"/>
      <c r="E28" s="25"/>
      <c r="F28" s="24"/>
    </row>
    <row r="29" spans="3:15" x14ac:dyDescent="0.25">
      <c r="C29" s="1"/>
      <c r="E29" s="25"/>
      <c r="F29" s="24"/>
    </row>
    <row r="30" spans="3:15" x14ac:dyDescent="0.25">
      <c r="C30" s="1"/>
      <c r="E30" s="25"/>
      <c r="F30" s="24"/>
    </row>
    <row r="31" spans="3:15" x14ac:dyDescent="0.25">
      <c r="C31" s="1"/>
      <c r="E31" s="25"/>
      <c r="F31" s="24"/>
    </row>
    <row r="32" spans="3:15" x14ac:dyDescent="0.25">
      <c r="C32" s="1"/>
      <c r="E32" s="25"/>
      <c r="F32" s="24"/>
    </row>
    <row r="33" spans="3:9" x14ac:dyDescent="0.25">
      <c r="C33" s="1"/>
      <c r="E33" s="25"/>
      <c r="F33" s="24"/>
    </row>
    <row r="36" spans="3:9" x14ac:dyDescent="0.25">
      <c r="H36" s="16"/>
      <c r="I3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Skewness dan Kurtosis</vt:lpstr>
      <vt:lpstr>Differencing</vt:lpstr>
      <vt:lpstr>kruskal-wallis</vt:lpstr>
      <vt:lpstr>ACF</vt:lpstr>
      <vt:lpstr>Normalitas</vt:lpstr>
      <vt:lpstr>LjungBox</vt:lpstr>
      <vt:lpstr>Sheet4</vt:lpstr>
      <vt:lpstr>ADF</vt:lpstr>
      <vt:lpstr>MAPE</vt:lpstr>
      <vt:lpstr>HW MUL</vt:lpstr>
      <vt:lpstr>HW ADD</vt:lpstr>
      <vt:lpstr>HW MAPE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Raihan Akbar</cp:lastModifiedBy>
  <dcterms:created xsi:type="dcterms:W3CDTF">2025-01-22T12:05:46Z</dcterms:created>
  <dcterms:modified xsi:type="dcterms:W3CDTF">2025-09-11T13:23:11Z</dcterms:modified>
</cp:coreProperties>
</file>